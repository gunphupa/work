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articipants" sheetId="2" state="visible" r:id="rId4"/>
    <sheet name="Tasks" sheetId="3" state="visible" r:id="rId5"/>
    <sheet name="Survey" sheetId="4" state="visible" r:id="rId6"/>
    <sheet name="Comparison" sheetId="5" state="visible" r:id="rId7"/>
    <sheet name="Summary" sheetId="6" state="visible" r:id="rId8"/>
  </sheets>
  <definedNames>
    <definedName function="false" hidden="true" localSheetId="4" name="_xlnm._FilterDatabase" vbProcedure="false">Comparison!$A$1:$K$121</definedName>
    <definedName function="false" hidden="true" localSheetId="1" name="_xlnm._FilterDatabase" vbProcedure="false">Participants!$A$1:$K$61</definedName>
    <definedName function="false" hidden="true" localSheetId="3" name="_xlnm._FilterDatabase" vbProcedure="false">Survey!$A$1:$N$61</definedName>
    <definedName function="false" hidden="true" localSheetId="2" name="_xlnm._FilterDatabase" vbProcedure="false">Tasks!$A$1:$H$241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<sst xmlns="http://schemas.openxmlformats.org/spreadsheetml/2006/main" count="111" uniqueCount="92">
  <si>
    <t xml:space="preserve">ReBuild research workbook</t>
  </si>
  <si>
    <t xml:space="preserve">แบบฟอร์มว่าง ไม่มีผลสมมติ</t>
  </si>
  <si>
    <t xml:space="preserve">Version</t>
  </si>
  <si>
    <t xml:space="preserve">5125774 / 3 October 2026</t>
  </si>
  <si>
    <t xml:space="preserve">Privacy</t>
  </si>
  <si>
    <r>
      <rPr>
        <sz val="11"/>
        <color rgb="FF222222"/>
        <rFont val="Noto Sans Thai"/>
        <family val="0"/>
        <charset val="1"/>
      </rPr>
      <t xml:space="preserve">เก็บคำตอบจริงไว้ส่วนตัว ไม่ส่งรายชื่อ อีเมล หรือข้อมูลดิบขึ้น </t>
    </r>
    <r>
      <rPr>
        <sz val="11"/>
        <color rgb="FF222222"/>
        <rFont val="Calibri"/>
        <family val="2"/>
        <charset val="1"/>
      </rPr>
      <t xml:space="preserve">GitHub</t>
    </r>
  </si>
  <si>
    <t xml:space="preserve">Participants</t>
  </si>
  <si>
    <r>
      <rPr>
        <sz val="11"/>
        <color rgb="FF222222"/>
        <rFont val="Noto Sans Thai"/>
        <family val="0"/>
        <charset val="1"/>
      </rPr>
      <t xml:space="preserve">หนึ่งแถวต่อคน ใช้รหัส </t>
    </r>
    <r>
      <rPr>
        <sz val="11"/>
        <color rgb="FF222222"/>
        <rFont val="Calibri"/>
        <family val="2"/>
        <charset val="1"/>
      </rPr>
      <t xml:space="preserve">P001 </t>
    </r>
    <r>
      <rPr>
        <sz val="11"/>
        <color rgb="FF222222"/>
        <rFont val="Noto Sans Thai"/>
        <family val="0"/>
        <charset val="1"/>
      </rPr>
      <t xml:space="preserve">เป็นต้น ตัวอย่างรหัสไม่ใช่ผู้เข้าร่วมจริง</t>
    </r>
  </si>
  <si>
    <t xml:space="preserve">phase</t>
  </si>
  <si>
    <r>
      <rPr>
        <sz val="11"/>
        <color rgb="FF222222"/>
        <rFont val="Calibri"/>
        <family val="2"/>
        <charset val="1"/>
      </rPr>
      <t xml:space="preserve">pilot=</t>
    </r>
    <r>
      <rPr>
        <sz val="11"/>
        <color rgb="FF222222"/>
        <rFont val="Noto Sans Thai"/>
        <family val="0"/>
        <charset val="1"/>
      </rPr>
      <t xml:space="preserve">นำร่อง </t>
    </r>
    <r>
      <rPr>
        <sz val="11"/>
        <color rgb="FF222222"/>
        <rFont val="Calibri"/>
        <family val="2"/>
        <charset val="1"/>
      </rPr>
      <t xml:space="preserve">/ main=</t>
    </r>
    <r>
      <rPr>
        <sz val="11"/>
        <color rgb="FF222222"/>
        <rFont val="Noto Sans Thai"/>
        <family val="0"/>
        <charset val="1"/>
      </rPr>
      <t xml:space="preserve">เก็บจริง สูตรสรุปใช้ </t>
    </r>
    <r>
      <rPr>
        <sz val="11"/>
        <color rgb="FF222222"/>
        <rFont val="Calibri"/>
        <family val="2"/>
        <charset val="1"/>
      </rPr>
      <t xml:space="preserve">main </t>
    </r>
    <r>
      <rPr>
        <sz val="11"/>
        <color rgb="FF222222"/>
        <rFont val="Noto Sans Thai"/>
        <family val="0"/>
        <charset val="1"/>
      </rPr>
      <t xml:space="preserve">เท่านั้น</t>
    </r>
  </si>
  <si>
    <t xml:space="preserve">Tasks</t>
  </si>
  <si>
    <r>
      <rPr>
        <sz val="11"/>
        <color rgb="FF222222"/>
        <rFont val="Noto Sans Thai"/>
        <family val="0"/>
        <charset val="1"/>
      </rPr>
      <t xml:space="preserve">หนึ่งแถวต่อรหัส</t>
    </r>
    <r>
      <rPr>
        <sz val="11"/>
        <color rgb="FF222222"/>
        <rFont val="Calibri"/>
        <family val="2"/>
        <charset val="1"/>
      </rPr>
      <t xml:space="preserve">+phase+task </t>
    </r>
    <r>
      <rPr>
        <sz val="11"/>
        <color rgb="FF222222"/>
        <rFont val="Noto Sans Thai"/>
        <family val="0"/>
        <charset val="1"/>
      </rPr>
      <t xml:space="preserve">ห้ามซ้ำ</t>
    </r>
    <r>
      <rPr>
        <sz val="11"/>
        <color rgb="FF222222"/>
        <rFont val="Calibri"/>
        <family val="2"/>
        <charset val="1"/>
      </rPr>
      <t xml:space="preserve">; T1,T2,T3,T4 </t>
    </r>
    <r>
      <rPr>
        <sz val="11"/>
        <color rgb="FF222222"/>
        <rFont val="Noto Sans Thai"/>
        <family val="0"/>
        <charset val="1"/>
      </rPr>
      <t xml:space="preserve">ตามเอกสาร</t>
    </r>
  </si>
  <si>
    <t xml:space="preserve">status</t>
  </si>
  <si>
    <r>
      <rPr>
        <sz val="11"/>
        <color rgb="FF222222"/>
        <rFont val="Calibri"/>
        <family val="2"/>
        <charset val="1"/>
      </rPr>
      <t xml:space="preserve">2=</t>
    </r>
    <r>
      <rPr>
        <sz val="11"/>
        <color rgb="FF222222"/>
        <rFont val="Noto Sans Thai"/>
        <family val="0"/>
        <charset val="1"/>
      </rPr>
      <t xml:space="preserve">สำเร็จเอง</t>
    </r>
    <r>
      <rPr>
        <sz val="11"/>
        <color rgb="FF222222"/>
        <rFont val="Calibri"/>
        <family val="2"/>
        <charset val="1"/>
      </rPr>
      <t xml:space="preserve">; 1=</t>
    </r>
    <r>
      <rPr>
        <sz val="11"/>
        <color rgb="FF222222"/>
        <rFont val="Noto Sans Thai"/>
        <family val="0"/>
        <charset val="1"/>
      </rPr>
      <t xml:space="preserve">สำเร็จเมื่อช่วย</t>
    </r>
    <r>
      <rPr>
        <sz val="11"/>
        <color rgb="FF222222"/>
        <rFont val="Calibri"/>
        <family val="2"/>
        <charset val="1"/>
      </rPr>
      <t xml:space="preserve">; 0=</t>
    </r>
    <r>
      <rPr>
        <sz val="11"/>
        <color rgb="FF222222"/>
        <rFont val="Noto Sans Thai"/>
        <family val="0"/>
        <charset val="1"/>
      </rPr>
      <t xml:space="preserve">ไม่สำเร็จ</t>
    </r>
    <r>
      <rPr>
        <sz val="11"/>
        <color rgb="FF222222"/>
        <rFont val="Calibri"/>
        <family val="2"/>
        <charset val="1"/>
      </rPr>
      <t xml:space="preserve">; withdrawn=</t>
    </r>
    <r>
      <rPr>
        <sz val="11"/>
        <color rgb="FF222222"/>
        <rFont val="Noto Sans Thai"/>
        <family val="0"/>
        <charset val="1"/>
      </rPr>
      <t xml:space="preserve">ถอนตัว</t>
    </r>
    <r>
      <rPr>
        <sz val="11"/>
        <color rgb="FF222222"/>
        <rFont val="Calibri"/>
        <family val="2"/>
        <charset val="1"/>
      </rPr>
      <t xml:space="preserve">; not_run=</t>
    </r>
    <r>
      <rPr>
        <sz val="11"/>
        <color rgb="FF222222"/>
        <rFont val="Noto Sans Thai"/>
        <family val="0"/>
        <charset val="1"/>
      </rPr>
      <t xml:space="preserve">ยังไม่ทำ</t>
    </r>
  </si>
  <si>
    <t xml:space="preserve">seconds</t>
  </si>
  <si>
    <r>
      <rPr>
        <sz val="11"/>
        <color rgb="FF222222"/>
        <rFont val="Noto Sans Thai"/>
        <family val="0"/>
        <charset val="1"/>
      </rPr>
      <t xml:space="preserve">วินาทีจริง ห้ามแทนช่องว่างด้วย </t>
    </r>
    <r>
      <rPr>
        <sz val="11"/>
        <color rgb="FF222222"/>
        <rFont val="Calibri"/>
        <family val="2"/>
        <charset val="1"/>
      </rPr>
      <t xml:space="preserve">0; </t>
    </r>
    <r>
      <rPr>
        <sz val="11"/>
        <color rgb="FF222222"/>
        <rFont val="Noto Sans Thai"/>
        <family val="0"/>
        <charset val="1"/>
      </rPr>
      <t xml:space="preserve">บันทึกหมดเวลาตามจริง</t>
    </r>
  </si>
  <si>
    <t xml:space="preserve">Survey</t>
  </si>
  <si>
    <r>
      <rPr>
        <sz val="11"/>
        <color rgb="FF222222"/>
        <rFont val="Calibri"/>
        <family val="2"/>
        <charset val="1"/>
      </rPr>
      <t xml:space="preserve">Q1-Q8 1-5; </t>
    </r>
    <r>
      <rPr>
        <sz val="11"/>
        <color rgb="FF222222"/>
        <rFont val="Noto Sans Thai"/>
        <family val="0"/>
        <charset val="1"/>
      </rPr>
      <t xml:space="preserve">ช่องว่างคือไม่ได้ตอบ ไม่ใช่ </t>
    </r>
    <r>
      <rPr>
        <sz val="11"/>
        <color rgb="FF222222"/>
        <rFont val="Calibri"/>
        <family val="2"/>
        <charset val="1"/>
      </rPr>
      <t xml:space="preserve">0</t>
    </r>
  </si>
  <si>
    <t xml:space="preserve">Summary</t>
  </si>
  <si>
    <r>
      <rPr>
        <sz val="11"/>
        <color rgb="FF222222"/>
        <rFont val="Noto Sans Thai"/>
        <family val="0"/>
        <charset val="1"/>
      </rPr>
      <t xml:space="preserve">สรุปอัตราสำเร็จและเวลาเฉลี่ยของผู้สำเร็จเอง แสดง </t>
    </r>
    <r>
      <rPr>
        <sz val="11"/>
        <color rgb="FF222222"/>
        <rFont val="Calibri"/>
        <family val="2"/>
        <charset val="1"/>
      </rPr>
      <t xml:space="preserve">n; </t>
    </r>
    <r>
      <rPr>
        <sz val="11"/>
        <color rgb="FF222222"/>
        <rFont val="Noto Sans Thai"/>
        <family val="0"/>
        <charset val="1"/>
      </rPr>
      <t xml:space="preserve">ข้อมูลซ้ำจะทำให้ผลผิด ต้องตรวจรหัสก่อน</t>
    </r>
  </si>
  <si>
    <t xml:space="preserve">Questionnaire</t>
  </si>
  <si>
    <r>
      <rPr>
        <sz val="11"/>
        <color rgb="FF222222"/>
        <rFont val="Noto Sans Thai"/>
        <family val="0"/>
        <charset val="1"/>
      </rPr>
      <t xml:space="preserve">ผู้วิจัยสร้างเอง ไม่ใช่ </t>
    </r>
    <r>
      <rPr>
        <sz val="11"/>
        <color rgb="FF222222"/>
        <rFont val="Calibri"/>
        <family val="2"/>
        <charset val="1"/>
      </rPr>
      <t xml:space="preserve">SUS; </t>
    </r>
    <r>
      <rPr>
        <sz val="11"/>
        <color rgb="FF222222"/>
        <rFont val="Noto Sans Thai"/>
        <family val="0"/>
        <charset val="1"/>
      </rPr>
      <t xml:space="preserve">ค่าเฉลี่ยรวมไม่ใช่คะแนนมาตรฐาน</t>
    </r>
  </si>
  <si>
    <t xml:space="preserve">Comparison</t>
  </si>
  <si>
    <r>
      <rPr>
        <sz val="11"/>
        <color rgb="FF222222"/>
        <rFont val="Noto Sans Thai"/>
        <family val="0"/>
        <charset val="1"/>
      </rPr>
      <t xml:space="preserve">ทางเลือกเท่านั้น หนึ่งคนสองแถว </t>
    </r>
    <r>
      <rPr>
        <sz val="11"/>
        <color rgb="FF222222"/>
        <rFont val="Calibri"/>
        <family val="2"/>
        <charset val="1"/>
      </rPr>
      <t xml:space="preserve">W/P; score 0-4; </t>
    </r>
    <r>
      <rPr>
        <sz val="11"/>
        <color rgb="FF222222"/>
        <rFont val="Noto Sans Thai"/>
        <family val="0"/>
        <charset val="1"/>
      </rPr>
      <t xml:space="preserve">ควบคุมโครงงานและสลับลำดับ</t>
    </r>
  </si>
  <si>
    <t xml:space="preserve">No data</t>
  </si>
  <si>
    <r>
      <rPr>
        <sz val="11"/>
        <color rgb="FF222222"/>
        <rFont val="Noto Sans Thai"/>
        <family val="0"/>
        <charset val="1"/>
      </rPr>
      <t xml:space="preserve">สูตรยังว่างจนกรอกข้อมูลจริง เปิดด้วย </t>
    </r>
    <r>
      <rPr>
        <sz val="11"/>
        <color rgb="FF222222"/>
        <rFont val="Calibri"/>
        <family val="2"/>
        <charset val="1"/>
      </rPr>
      <t xml:space="preserve">Excel/LibreOffice </t>
    </r>
    <r>
      <rPr>
        <sz val="11"/>
        <color rgb="FF222222"/>
        <rFont val="Noto Sans Thai"/>
        <family val="0"/>
        <charset val="1"/>
      </rPr>
      <t xml:space="preserve">เพื่อคำนวณ</t>
    </r>
  </si>
  <si>
    <t xml:space="preserve">Capacity</t>
  </si>
  <si>
    <r>
      <rPr>
        <sz val="11"/>
        <color rgb="FF222222"/>
        <rFont val="Calibri"/>
        <family val="2"/>
        <charset val="1"/>
      </rPr>
      <t xml:space="preserve">Participants/Survey 60 </t>
    </r>
    <r>
      <rPr>
        <sz val="11"/>
        <color rgb="FF222222"/>
        <rFont val="Noto Sans Thai"/>
        <family val="0"/>
        <charset val="1"/>
      </rPr>
      <t xml:space="preserve">แถว </t>
    </r>
    <r>
      <rPr>
        <sz val="11"/>
        <color rgb="FF222222"/>
        <rFont val="Calibri"/>
        <family val="2"/>
        <charset val="1"/>
      </rPr>
      <t xml:space="preserve">Tasks 240 </t>
    </r>
    <r>
      <rPr>
        <sz val="11"/>
        <color rgb="FF222222"/>
        <rFont val="Noto Sans Thai"/>
        <family val="0"/>
        <charset val="1"/>
      </rPr>
      <t xml:space="preserve">แถว </t>
    </r>
    <r>
      <rPr>
        <sz val="11"/>
        <color rgb="FF222222"/>
        <rFont val="Calibri"/>
        <family val="2"/>
        <charset val="1"/>
      </rPr>
      <t xml:space="preserve">Comparison 120 </t>
    </r>
    <r>
      <rPr>
        <sz val="11"/>
        <color rgb="FF222222"/>
        <rFont val="Noto Sans Thai"/>
        <family val="0"/>
        <charset val="1"/>
      </rPr>
      <t xml:space="preserve">แถว</t>
    </r>
    <r>
      <rPr>
        <sz val="11"/>
        <color rgb="FF222222"/>
        <rFont val="Calibri"/>
        <family val="2"/>
        <charset val="1"/>
      </rPr>
      <t xml:space="preserve">; </t>
    </r>
    <r>
      <rPr>
        <sz val="11"/>
        <color rgb="FF222222"/>
        <rFont val="Noto Sans Thai"/>
        <family val="0"/>
        <charset val="1"/>
      </rPr>
      <t xml:space="preserve">ไม่ใช่จำนวนตัวอย่างจริง</t>
    </r>
  </si>
  <si>
    <t xml:space="preserve">Errors</t>
  </si>
  <si>
    <r>
      <rPr>
        <sz val="11"/>
        <color rgb="FF222222"/>
        <rFont val="Noto Sans Thai"/>
        <family val="0"/>
        <charset val="1"/>
      </rPr>
      <t xml:space="preserve">ทำซ้ำไม่สำเร็จ</t>
    </r>
    <r>
      <rPr>
        <sz val="11"/>
        <color rgb="FF222222"/>
        <rFont val="Calibri"/>
        <family val="2"/>
        <charset val="1"/>
      </rPr>
      <t xml:space="preserve">/</t>
    </r>
    <r>
      <rPr>
        <sz val="11"/>
        <color rgb="FF222222"/>
        <rFont val="Noto Sans Thai"/>
        <family val="0"/>
        <charset val="1"/>
      </rPr>
      <t xml:space="preserve">เลือกผิด</t>
    </r>
    <r>
      <rPr>
        <sz val="11"/>
        <color rgb="FF222222"/>
        <rFont val="Calibri"/>
        <family val="2"/>
        <charset val="1"/>
      </rPr>
      <t xml:space="preserve">/</t>
    </r>
    <r>
      <rPr>
        <sz val="11"/>
        <color rgb="FF222222"/>
        <rFont val="Noto Sans Thai"/>
        <family val="0"/>
        <charset val="1"/>
      </rPr>
      <t xml:space="preserve">ข้อมูลหาย ตามที่สังเกต จดคำอธิบายโดยไม่เดาเหตุผล</t>
    </r>
  </si>
  <si>
    <t xml:space="preserve">Timing</t>
  </si>
  <si>
    <r>
      <rPr>
        <sz val="11"/>
        <color rgb="FF222222"/>
        <rFont val="Noto Sans Thai"/>
        <family val="0"/>
        <charset val="1"/>
      </rPr>
      <t xml:space="preserve">เริ่มหลังอ่านโจทย์ หยุดเมื่อเข้าเกณฑ์</t>
    </r>
    <r>
      <rPr>
        <sz val="11"/>
        <color rgb="FF222222"/>
        <rFont val="Calibri"/>
        <family val="2"/>
        <charset val="1"/>
      </rPr>
      <t xml:space="preserve">/</t>
    </r>
    <r>
      <rPr>
        <sz val="11"/>
        <color rgb="FF222222"/>
        <rFont val="Noto Sans Thai"/>
        <family val="0"/>
        <charset val="1"/>
      </rPr>
      <t xml:space="preserve">หมดเวลา</t>
    </r>
    <r>
      <rPr>
        <sz val="11"/>
        <color rgb="FF222222"/>
        <rFont val="Calibri"/>
        <family val="2"/>
        <charset val="1"/>
      </rPr>
      <t xml:space="preserve">; </t>
    </r>
    <r>
      <rPr>
        <sz val="11"/>
        <color rgb="FF222222"/>
        <rFont val="Noto Sans Thai"/>
        <family val="0"/>
        <charset val="1"/>
      </rPr>
      <t xml:space="preserve">เวลาเปิดเว็บครั้งแรกบันทึกแยก</t>
    </r>
  </si>
  <si>
    <t xml:space="preserve">Consent</t>
  </si>
  <si>
    <t xml:space="preserve">ถอนตัวได้ตามแผนโรงเรียน ไม่บังคับใช้บัญชีในการทดสอบหลัก</t>
  </si>
  <si>
    <t xml:space="preserve">participant_id</t>
  </si>
  <si>
    <t xml:space="preserve">consent_yes_no</t>
  </si>
  <si>
    <t xml:space="preserve">study_date</t>
  </si>
  <si>
    <t xml:space="preserve">device</t>
  </si>
  <si>
    <t xml:space="preserve">browser</t>
  </si>
  <si>
    <t xml:space="preserve">language</t>
  </si>
  <si>
    <t xml:space="preserve">diy_experience</t>
  </si>
  <si>
    <t xml:space="preserve">app_commit</t>
  </si>
  <si>
    <t xml:space="preserve">cold_start_seconds</t>
  </si>
  <si>
    <t xml:space="preserve">notes</t>
  </si>
  <si>
    <t xml:space="preserve">task_id</t>
  </si>
  <si>
    <t xml:space="preserve">hints</t>
  </si>
  <si>
    <t xml:space="preserve">error_count</t>
  </si>
  <si>
    <t xml:space="preserve">observed_answer_or_issue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</si>
  <si>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</si>
  <si>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</si>
  <si>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</si>
  <si>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</si>
  <si>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</si>
  <si>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</si>
  <si>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</si>
  <si>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</si>
  <si>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confusing</t>
  </si>
  <si>
    <t xml:space="preserve">improve_first</t>
  </si>
  <si>
    <t xml:space="preserve">most_useful</t>
  </si>
  <si>
    <t xml:space="preserve">complete_main_mean</t>
  </si>
  <si>
    <t xml:space="preserve">sequence</t>
  </si>
  <si>
    <t xml:space="preserve">round</t>
  </si>
  <si>
    <t xml:space="preserve">method_W_P</t>
  </si>
  <si>
    <t xml:space="preserve">project_A_B</t>
  </si>
  <si>
    <t xml:space="preserve">score_0_4</t>
  </si>
  <si>
    <t xml:space="preserve">timed_out_yes_no</t>
  </si>
  <si>
    <t xml:space="preserve">actual_answers</t>
  </si>
  <si>
    <t xml:space="preserve">ภารกิจ</t>
  </si>
  <si>
    <r>
      <rPr>
        <b val="true"/>
        <sz val="11"/>
        <color rgb="FFFFFFFF"/>
        <rFont val="Calibri"/>
        <family val="2"/>
        <charset val="1"/>
      </rPr>
      <t xml:space="preserve">n </t>
    </r>
    <r>
      <rPr>
        <b val="true"/>
        <sz val="11"/>
        <color rgb="FFFFFFFF"/>
        <rFont val="Noto Sans Thai"/>
        <family val="0"/>
        <charset val="1"/>
      </rPr>
      <t xml:space="preserve">ทดลองจริง</t>
    </r>
  </si>
  <si>
    <t xml:space="preserve">สำเร็จเอง</t>
  </si>
  <si>
    <t xml:space="preserve">สำเร็จเมื่อช่วย</t>
  </si>
  <si>
    <t xml:space="preserve">ไม่สำเร็จ</t>
  </si>
  <si>
    <t xml:space="preserve">อัตราสำเร็จเอง</t>
  </si>
  <si>
    <t xml:space="preserve">อัตรารวมช่วย</t>
  </si>
  <si>
    <r>
      <rPr>
        <b val="true"/>
        <sz val="11"/>
        <color rgb="FFFFFFFF"/>
        <rFont val="Noto Sans Thai"/>
        <family val="0"/>
        <charset val="1"/>
      </rPr>
      <t xml:space="preserve">วินาทีเฉลี่ย </t>
    </r>
    <r>
      <rPr>
        <b val="true"/>
        <sz val="11"/>
        <color rgb="FFFFFFFF"/>
        <rFont val="Calibri"/>
        <family val="2"/>
        <charset val="1"/>
      </rPr>
      <t xml:space="preserve">(</t>
    </r>
    <r>
      <rPr>
        <b val="true"/>
        <sz val="11"/>
        <color rgb="FFFFFFFF"/>
        <rFont val="Noto Sans Thai"/>
        <family val="0"/>
        <charset val="1"/>
      </rPr>
      <t xml:space="preserve">สำเร็จเอง</t>
    </r>
    <r>
      <rPr>
        <b val="true"/>
        <sz val="11"/>
        <color rgb="FFFFFFFF"/>
        <rFont val="Calibri"/>
        <family val="2"/>
        <charset val="1"/>
      </rPr>
      <t xml:space="preserve">)</t>
    </r>
  </si>
  <si>
    <t xml:space="preserve">ถอนตัว</t>
  </si>
  <si>
    <t xml:space="preserve">T1</t>
  </si>
  <si>
    <t xml:space="preserve">T2</t>
  </si>
  <si>
    <t xml:space="preserve">T3</t>
  </si>
  <si>
    <t xml:space="preserve">T4</t>
  </si>
  <si>
    <t xml:space="preserve">ข้อคำถาม</t>
  </si>
  <si>
    <r>
      <rPr>
        <sz val="11"/>
        <color rgb="FF222222"/>
        <rFont val="Calibri"/>
        <family val="2"/>
        <charset val="1"/>
      </rPr>
      <t xml:space="preserve">n </t>
    </r>
    <r>
      <rPr>
        <sz val="11"/>
        <color rgb="FF222222"/>
        <rFont val="Noto Sans Thai"/>
        <family val="0"/>
        <charset val="1"/>
      </rPr>
      <t xml:space="preserve">ตอบจริง</t>
    </r>
  </si>
  <si>
    <t xml:space="preserve">ค่าเฉลี่ย</t>
  </si>
  <si>
    <r>
      <rPr>
        <sz val="11"/>
        <color rgb="FF222222"/>
        <rFont val="Calibri"/>
        <family val="2"/>
        <charset val="1"/>
      </rPr>
      <t xml:space="preserve">SD </t>
    </r>
    <r>
      <rPr>
        <sz val="11"/>
        <color rgb="FF222222"/>
        <rFont val="Noto Sans Thai"/>
        <family val="0"/>
        <charset val="1"/>
      </rPr>
      <t xml:space="preserve">ตัวอย่าง</t>
    </r>
  </si>
  <si>
    <r>
      <rPr>
        <sz val="11"/>
        <color rgb="FF222222"/>
        <rFont val="Noto Sans Thai"/>
        <family val="0"/>
        <charset val="1"/>
      </rPr>
      <t xml:space="preserve">คะแนน </t>
    </r>
    <r>
      <rPr>
        <sz val="11"/>
        <color rgb="FF222222"/>
        <rFont val="Calibri"/>
        <family val="2"/>
        <charset val="1"/>
      </rPr>
      <t xml:space="preserve">1</t>
    </r>
  </si>
  <si>
    <r>
      <rPr>
        <sz val="11"/>
        <color rgb="FF222222"/>
        <rFont val="Noto Sans Thai"/>
        <family val="0"/>
        <charset val="1"/>
      </rPr>
      <t xml:space="preserve">คะแนน </t>
    </r>
    <r>
      <rPr>
        <sz val="11"/>
        <color rgb="FF222222"/>
        <rFont val="Calibri"/>
        <family val="2"/>
        <charset val="1"/>
      </rPr>
      <t xml:space="preserve">2</t>
    </r>
  </si>
  <si>
    <r>
      <rPr>
        <sz val="11"/>
        <color rgb="FF222222"/>
        <rFont val="Noto Sans Thai"/>
        <family val="0"/>
        <charset val="1"/>
      </rPr>
      <t xml:space="preserve">คะแนน </t>
    </r>
    <r>
      <rPr>
        <sz val="11"/>
        <color rgb="FF222222"/>
        <rFont val="Calibri"/>
        <family val="2"/>
        <charset val="1"/>
      </rPr>
      <t xml:space="preserve">3</t>
    </r>
  </si>
  <si>
    <r>
      <rPr>
        <sz val="11"/>
        <color rgb="FF222222"/>
        <rFont val="Noto Sans Thai"/>
        <family val="0"/>
        <charset val="1"/>
      </rPr>
      <t xml:space="preserve">คะแนน </t>
    </r>
    <r>
      <rPr>
        <sz val="11"/>
        <color rgb="FF222222"/>
        <rFont val="Calibri"/>
        <family val="2"/>
        <charset val="1"/>
      </rPr>
      <t xml:space="preserve">4</t>
    </r>
  </si>
  <si>
    <r>
      <rPr>
        <sz val="11"/>
        <color rgb="FF222222"/>
        <rFont val="Noto Sans Thai"/>
        <family val="0"/>
        <charset val="1"/>
      </rPr>
      <t xml:space="preserve">คะแนน </t>
    </r>
    <r>
      <rPr>
        <sz val="11"/>
        <color rgb="FF222222"/>
        <rFont val="Calibri"/>
        <family val="2"/>
        <charset val="1"/>
      </rPr>
      <t xml:space="preserve">5</t>
    </r>
  </si>
  <si>
    <r>
      <rPr>
        <sz val="11"/>
        <color rgb="FF222222"/>
        <rFont val="Noto Sans Thai"/>
        <family val="0"/>
        <charset val="1"/>
      </rPr>
      <t xml:space="preserve">ค่าเฉลี่ยรวม </t>
    </r>
    <r>
      <rPr>
        <sz val="11"/>
        <color rgb="FF222222"/>
        <rFont val="Calibri"/>
        <family val="2"/>
        <charset val="1"/>
      </rPr>
      <t xml:space="preserve">8 </t>
    </r>
    <r>
      <rPr>
        <sz val="11"/>
        <color rgb="FF222222"/>
        <rFont val="Noto Sans Thai"/>
        <family val="0"/>
        <charset val="1"/>
      </rPr>
      <t xml:space="preserve">ข้อ </t>
    </r>
    <r>
      <rPr>
        <sz val="11"/>
        <color rgb="FF222222"/>
        <rFont val="Calibri"/>
        <family val="2"/>
        <charset val="1"/>
      </rPr>
      <t xml:space="preserve">(</t>
    </r>
    <r>
      <rPr>
        <sz val="11"/>
        <color rgb="FF222222"/>
        <rFont val="Noto Sans Thai"/>
        <family val="0"/>
        <charset val="1"/>
      </rPr>
      <t xml:space="preserve">ครบเท่านั้น</t>
    </r>
    <r>
      <rPr>
        <sz val="11"/>
        <color rgb="FF222222"/>
        <rFont val="Calibri"/>
        <family val="2"/>
        <charset val="1"/>
      </rPr>
      <t xml:space="preserve">)</t>
    </r>
  </si>
  <si>
    <r>
      <rPr>
        <sz val="11"/>
        <color rgb="FF222222"/>
        <rFont val="Noto Sans Thai"/>
        <family val="0"/>
        <charset val="1"/>
      </rPr>
      <t xml:space="preserve">สำเร็จเอง </t>
    </r>
    <r>
      <rPr>
        <sz val="11"/>
        <color rgb="FF222222"/>
        <rFont val="Calibri"/>
        <family val="2"/>
        <charset val="1"/>
      </rPr>
      <t xml:space="preserve">n = </t>
    </r>
    <r>
      <rPr>
        <sz val="11"/>
        <color rgb="FF222222"/>
        <rFont val="Noto Sans Thai"/>
        <family val="0"/>
        <charset val="1"/>
      </rPr>
      <t xml:space="preserve">คอลัมน์ </t>
    </r>
    <r>
      <rPr>
        <sz val="11"/>
        <color rgb="FF222222"/>
        <rFont val="Calibri"/>
        <family val="2"/>
        <charset val="1"/>
      </rPr>
      <t xml:space="preserve">C; </t>
    </r>
    <r>
      <rPr>
        <sz val="11"/>
        <color rgb="FF222222"/>
        <rFont val="Noto Sans Thai"/>
        <family val="0"/>
        <charset val="1"/>
      </rPr>
      <t xml:space="preserve">เวลาเฉลี่ยอาจมี </t>
    </r>
    <r>
      <rPr>
        <sz val="11"/>
        <color rgb="FF222222"/>
        <rFont val="Calibri"/>
        <family val="2"/>
        <charset val="1"/>
      </rPr>
      <t xml:space="preserve">n </t>
    </r>
    <r>
      <rPr>
        <sz val="11"/>
        <color rgb="FF222222"/>
        <rFont val="Noto Sans Thai"/>
        <family val="0"/>
        <charset val="1"/>
      </rPr>
      <t xml:space="preserve">น้อยกว่าหากลืมกรอกเวลา ต้องตรวจความครบถ้วน</t>
    </r>
  </si>
  <si>
    <r>
      <rPr>
        <sz val="11"/>
        <color rgb="FF222222"/>
        <rFont val="Noto Sans Thai"/>
        <family val="0"/>
        <charset val="1"/>
      </rPr>
      <t xml:space="preserve">อย่ารวม </t>
    </r>
    <r>
      <rPr>
        <sz val="11"/>
        <color rgb="FF222222"/>
        <rFont val="Calibri"/>
        <family val="2"/>
        <charset val="1"/>
      </rPr>
      <t xml:space="preserve">4 </t>
    </r>
    <r>
      <rPr>
        <sz val="11"/>
        <color rgb="FF222222"/>
        <rFont val="Noto Sans Thai"/>
        <family val="0"/>
        <charset val="1"/>
      </rPr>
      <t xml:space="preserve">ภารกิจเป็น </t>
    </r>
    <r>
      <rPr>
        <sz val="11"/>
        <color rgb="FF222222"/>
        <rFont val="Calibri"/>
        <family val="2"/>
        <charset val="1"/>
      </rPr>
      <t xml:space="preserve">4 </t>
    </r>
    <r>
      <rPr>
        <sz val="11"/>
        <color rgb="FF222222"/>
        <rFont val="Noto Sans Thai"/>
        <family val="0"/>
        <charset val="1"/>
      </rPr>
      <t xml:space="preserve">คน</t>
    </r>
    <r>
      <rPr>
        <sz val="11"/>
        <color rgb="FF222222"/>
        <rFont val="Calibri"/>
        <family val="2"/>
        <charset val="1"/>
      </rPr>
      <t xml:space="preserve">; </t>
    </r>
    <r>
      <rPr>
        <sz val="11"/>
        <color rgb="FF222222"/>
        <rFont val="Noto Sans Thai"/>
        <family val="0"/>
        <charset val="1"/>
      </rPr>
      <t xml:space="preserve">อย่าตีความค่าเฉลี่ย </t>
    </r>
    <r>
      <rPr>
        <sz val="11"/>
        <color rgb="FF222222"/>
        <rFont val="Calibri"/>
        <family val="2"/>
        <charset val="1"/>
      </rPr>
      <t xml:space="preserve">Likert </t>
    </r>
    <r>
      <rPr>
        <sz val="11"/>
        <color rgb="FF222222"/>
        <rFont val="Noto Sans Thai"/>
        <family val="0"/>
        <charset val="1"/>
      </rPr>
      <t xml:space="preserve">ว่าเป็นร้อยละความแม่นยำ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</si>
</sst>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.0"/>
    <numFmt numFmtId="167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b val="true"/>
      <sz val="11"/>
      <color rgb="FFFFFFFF"/>
      <name val="Noto Sans Thai"/>
      <family val="0"/>
      <charset val="1"/>
    </font>
    <font>
      <sz val="11"/>
      <color rgb="FF222222"/>
      <name val="Calibri"/>
      <family val="2"/>
      <charset val="1"/>
    </font>
    <font>
      <sz val="11"/>
      <color rgb="FF222222"/>
      <name val="Noto Sans Thai"/>
      <family val="0"/>
      <charset val="1"/>
    </font>
    <font>
      <sz val="11"/>
      <color rgb="FF24483A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24483A"/>
        <bgColor rgb="FF003366"/>
      </patternFill>
    </fill>
    <fill>
      <patternFill patternType="solid">
        <fgColor rgb="FFF1F6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4483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1F6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2222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1F6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4483A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36" hidden="false" customHeight="tru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3" t="s">
        <v>2</v>
      </c>
      <c r="B2" s="3" t="s">
        <v>3</v>
      </c>
    </row>
    <row r="3" customFormat="false" ht="18.65" hidden="false" customHeight="false" outlineLevel="0" collapsed="false">
      <c r="A3" s="4" t="s">
        <v>4</v>
      </c>
      <c r="B3" s="5" t="s">
        <v>5</v>
      </c>
    </row>
    <row r="4" customFormat="false" ht="18.65" hidden="false" customHeight="false" outlineLevel="0" collapsed="false">
      <c r="A4" s="3" t="s">
        <v>6</v>
      </c>
      <c r="B4" s="6" t="s">
        <v>7</v>
      </c>
    </row>
    <row r="5" customFormat="false" ht="18.65" hidden="false" customHeight="false" outlineLevel="0" collapsed="false">
      <c r="A5" s="4" t="s">
        <v>8</v>
      </c>
      <c r="B5" s="4" t="s">
        <v>9</v>
      </c>
    </row>
    <row r="6" customFormat="false" ht="18.65" hidden="false" customHeight="false" outlineLevel="0" collapsed="false">
      <c r="A6" s="3" t="s">
        <v>10</v>
      </c>
      <c r="B6" s="6" t="s">
        <v>11</v>
      </c>
    </row>
    <row r="7" customFormat="false" ht="18.65" hidden="false" customHeight="false" outlineLevel="0" collapsed="false">
      <c r="A7" s="4" t="s">
        <v>12</v>
      </c>
      <c r="B7" s="4" t="s">
        <v>13</v>
      </c>
    </row>
    <row r="8" customFormat="false" ht="18.65" hidden="false" customHeight="false" outlineLevel="0" collapsed="false">
      <c r="A8" s="3" t="s">
        <v>14</v>
      </c>
      <c r="B8" s="6" t="s">
        <v>15</v>
      </c>
    </row>
    <row r="9" customFormat="false" ht="18.65" hidden="false" customHeight="false" outlineLevel="0" collapsed="false">
      <c r="A9" s="4" t="s">
        <v>16</v>
      </c>
      <c r="B9" s="4" t="s">
        <v>17</v>
      </c>
    </row>
    <row r="10" customFormat="false" ht="18.65" hidden="false" customHeight="false" outlineLevel="0" collapsed="false">
      <c r="A10" s="3" t="s">
        <v>18</v>
      </c>
      <c r="B10" s="6" t="s">
        <v>19</v>
      </c>
    </row>
    <row r="11" customFormat="false" ht="18.65" hidden="false" customHeight="false" outlineLevel="0" collapsed="false">
      <c r="A11" s="4" t="s">
        <v>20</v>
      </c>
      <c r="B11" s="5" t="s">
        <v>21</v>
      </c>
    </row>
    <row r="12" customFormat="false" ht="18.65" hidden="false" customHeight="false" outlineLevel="0" collapsed="false">
      <c r="A12" s="3" t="s">
        <v>22</v>
      </c>
      <c r="B12" s="6" t="s">
        <v>23</v>
      </c>
    </row>
    <row r="13" customFormat="false" ht="18.65" hidden="false" customHeight="false" outlineLevel="0" collapsed="false">
      <c r="A13" s="4" t="s">
        <v>24</v>
      </c>
      <c r="B13" s="5" t="s">
        <v>25</v>
      </c>
    </row>
    <row r="14" customFormat="false" ht="18.65" hidden="false" customHeight="false" outlineLevel="0" collapsed="false">
      <c r="A14" s="3" t="s">
        <v>26</v>
      </c>
      <c r="B14" s="3" t="s">
        <v>27</v>
      </c>
    </row>
    <row r="15" customFormat="false" ht="18.65" hidden="false" customHeight="false" outlineLevel="0" collapsed="false">
      <c r="A15" s="4" t="s">
        <v>28</v>
      </c>
      <c r="B15" s="5" t="s">
        <v>29</v>
      </c>
    </row>
    <row r="16" customFormat="false" ht="18.65" hidden="false" customHeight="false" outlineLevel="0" collapsed="false">
      <c r="A16" s="3" t="s">
        <v>30</v>
      </c>
      <c r="B16" s="6" t="s">
        <v>31</v>
      </c>
    </row>
    <row r="17" customFormat="false" ht="15" hidden="false" customHeight="false" outlineLevel="0" collapsed="false">
      <c r="A17" s="4" t="s">
        <v>32</v>
      </c>
      <c r="B17" s="5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1" min="1" style="0" width="22"/>
  </cols>
  <sheetData>
    <row r="1" customFormat="false" ht="36" hidden="false" customHeight="true" outlineLevel="0" collapsed="false">
      <c r="A1" s="1" t="s">
        <v>34</v>
      </c>
      <c r="B1" s="1" t="s">
        <v>8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</row>
    <row r="2" customFormat="false" ht="15" hidden="false" customHeight="false" outlineLevel="0" collapsed="false">
      <c r="A2" s="7"/>
      <c r="B2" s="7"/>
      <c r="C2" s="7"/>
      <c r="D2" s="7"/>
      <c r="E2" s="7"/>
      <c r="F2" s="7"/>
      <c r="G2" s="7"/>
      <c r="H2" s="7"/>
      <c r="I2" s="7"/>
      <c r="J2" s="7"/>
      <c r="K2" s="7"/>
    </row>
    <row r="3" customFormat="false" ht="15" hidden="false" customHeight="false" outlineLevel="0" collapsed="false">
      <c r="A3" s="8"/>
      <c r="B3" s="8"/>
      <c r="C3" s="8"/>
      <c r="D3" s="8"/>
      <c r="E3" s="8"/>
      <c r="F3" s="8"/>
      <c r="G3" s="8"/>
      <c r="H3" s="8"/>
      <c r="I3" s="8"/>
      <c r="J3" s="8"/>
      <c r="K3" s="8"/>
    </row>
    <row r="4" customFormat="false" ht="15" hidden="false" customHeight="false" outlineLevel="0" collapsed="false">
      <c r="A4" s="7"/>
      <c r="B4" s="7"/>
      <c r="C4" s="7"/>
      <c r="D4" s="7"/>
      <c r="E4" s="7"/>
      <c r="F4" s="7"/>
      <c r="G4" s="7"/>
      <c r="H4" s="7"/>
      <c r="I4" s="7"/>
      <c r="J4" s="7"/>
      <c r="K4" s="7"/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  <c r="K5" s="8"/>
    </row>
    <row r="6" customFormat="false" ht="15" hidden="false" customHeight="false" outlineLevel="0" collapsed="false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customFormat="false" ht="15" hidden="false" customHeight="false" outlineLevel="0" collapsed="false">
      <c r="A8" s="7"/>
      <c r="B8" s="7"/>
      <c r="C8" s="7"/>
      <c r="D8" s="7"/>
      <c r="E8" s="7"/>
      <c r="F8" s="7"/>
      <c r="G8" s="7"/>
      <c r="H8" s="7"/>
      <c r="I8" s="7"/>
      <c r="J8" s="7"/>
      <c r="K8" s="7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  <c r="J9" s="8"/>
      <c r="K9" s="8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</row>
    <row r="26" customFormat="false" ht="15" hidden="false" customHeight="false" outlineLevel="0" collapsed="false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</row>
    <row r="28" customFormat="false" ht="15" hidden="false" customHeight="false" outlineLevel="0" collapsed="false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</row>
    <row r="30" customFormat="false" ht="15" hidden="false" customHeight="false" outlineLevel="0" collapsed="false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</row>
    <row r="32" customFormat="false" ht="15" hidden="false" customHeight="false" outlineLevel="0" collapsed="false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</row>
    <row r="34" customFormat="false" ht="15" hidden="false" customHeight="false" outlineLevel="0" collapsed="false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</row>
    <row r="36" customFormat="false" ht="15" hidden="false" customHeight="false" outlineLevel="0" collapsed="false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</row>
    <row r="38" customFormat="false" ht="15" hidden="false" customHeight="false" outlineLevel="0" collapsed="false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</row>
    <row r="40" customFormat="false" ht="15" hidden="false" customHeight="false" outlineLevel="0" collapsed="false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</row>
    <row r="42" customFormat="false" ht="15" hidden="false" customHeight="false" outlineLevel="0" collapsed="false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</row>
    <row r="44" customFormat="false" ht="15" hidden="false" customHeight="false" outlineLevel="0" collapsed="false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</row>
    <row r="46" customFormat="false" ht="15" hidden="false" customHeight="false" outlineLevel="0" collapsed="false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</row>
    <row r="48" customFormat="false" ht="15" hidden="false" customHeight="false" outlineLevel="0" collapsed="false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</row>
    <row r="50" customFormat="false" ht="15" hidden="false" customHeight="false" outlineLevel="0" collapsed="false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</row>
    <row r="52" customFormat="false" ht="15" hidden="false" customHeight="false" outlineLevel="0" collapsed="false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</row>
    <row r="54" customFormat="false" ht="15" hidden="false" customHeight="false" outlineLevel="0" collapsed="false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</row>
    <row r="56" customFormat="false" ht="15" hidden="false" customHeight="false" outlineLevel="0" collapsed="false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</row>
    <row r="58" customFormat="false" ht="15" hidden="false" customHeight="false" outlineLevel="0" collapsed="false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</row>
    <row r="59" customFormat="false" ht="15" hidden="false" customHeight="false" outlineLevel="0" collapsed="false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</row>
    <row r="60" customFormat="false" ht="15" hidden="false" customHeight="false" outlineLevel="0" collapsed="false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</row>
    <row r="61" customFormat="false" ht="15" hidden="false" customHeight="false" outlineLevel="0" collapsed="false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</row>
  </sheetData>
  <autoFilter ref="A1:K61"/>
  <dataValidations count="1">
    <dataValidation allowBlank="true" error="ใช้ค่าตามคำอธิบายใน Readme" errorStyle="stop" errorTitle="ข้อมูลไม่ตรงรูปแบบ" operator="between" showDropDown="false" showErrorMessage="true" showInputMessage="false" sqref="B2:B61" type="list">
      <formula1>"pilot,main"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7" min="1" style="0" width="22"/>
    <col collapsed="false" customWidth="true" hidden="false" outlineLevel="0" max="8" min="8" style="0" width="60"/>
  </cols>
  <sheetData>
    <row r="1" customFormat="false" ht="36" hidden="false" customHeight="true" outlineLevel="0" collapsed="false">
      <c r="A1" s="1" t="s">
        <v>34</v>
      </c>
      <c r="B1" s="1" t="s">
        <v>8</v>
      </c>
      <c r="C1" s="1" t="s">
        <v>44</v>
      </c>
      <c r="D1" s="1" t="s">
        <v>12</v>
      </c>
      <c r="E1" s="1" t="s">
        <v>14</v>
      </c>
      <c r="F1" s="1" t="s">
        <v>45</v>
      </c>
      <c r="G1" s="1" t="s">
        <v>46</v>
      </c>
      <c r="H1" s="1" t="s">
        <v>47</v>
      </c>
    </row>
    <row r="2" customFormat="false" ht="15" hidden="false" customHeight="false" outlineLevel="0" collapsed="false">
      <c r="A2" s="7"/>
      <c r="B2" s="7"/>
      <c r="C2" s="7"/>
      <c r="D2" s="7"/>
      <c r="E2" s="7"/>
      <c r="F2" s="7"/>
      <c r="G2" s="7"/>
      <c r="H2" s="7"/>
    </row>
    <row r="3" customFormat="false" ht="15" hidden="false" customHeight="false" outlineLevel="0" collapsed="false">
      <c r="A3" s="8"/>
      <c r="B3" s="8"/>
      <c r="C3" s="8"/>
      <c r="D3" s="8"/>
      <c r="E3" s="8"/>
      <c r="F3" s="8"/>
      <c r="G3" s="8"/>
      <c r="H3" s="8"/>
    </row>
    <row r="4" customFormat="false" ht="15" hidden="false" customHeight="false" outlineLevel="0" collapsed="false">
      <c r="A4" s="7"/>
      <c r="B4" s="7"/>
      <c r="C4" s="7"/>
      <c r="D4" s="7"/>
      <c r="E4" s="7"/>
      <c r="F4" s="7"/>
      <c r="G4" s="7"/>
      <c r="H4" s="7"/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</row>
    <row r="6" customFormat="false" ht="15" hidden="false" customHeight="false" outlineLevel="0" collapsed="false">
      <c r="A6" s="7"/>
      <c r="B6" s="7"/>
      <c r="C6" s="7"/>
      <c r="D6" s="7"/>
      <c r="E6" s="7"/>
      <c r="F6" s="7"/>
      <c r="G6" s="7"/>
      <c r="H6" s="7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  <c r="H7" s="8"/>
    </row>
    <row r="8" customFormat="false" ht="15" hidden="false" customHeight="false" outlineLevel="0" collapsed="false">
      <c r="A8" s="7"/>
      <c r="B8" s="7"/>
      <c r="C8" s="7"/>
      <c r="D8" s="7"/>
      <c r="E8" s="7"/>
      <c r="F8" s="7"/>
      <c r="G8" s="7"/>
      <c r="H8" s="7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7"/>
      <c r="H10" s="7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7"/>
      <c r="H12" s="7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  <c r="G16" s="7"/>
      <c r="H16" s="7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7"/>
      <c r="H18" s="7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7"/>
      <c r="H20" s="7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  <c r="H21" s="8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  <c r="H23" s="8"/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7"/>
      <c r="H24" s="7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  <c r="H25" s="8"/>
    </row>
    <row r="26" customFormat="false" ht="15" hidden="false" customHeight="false" outlineLevel="0" collapsed="false">
      <c r="A26" s="7"/>
      <c r="B26" s="7"/>
      <c r="C26" s="7"/>
      <c r="D26" s="7"/>
      <c r="E26" s="7"/>
      <c r="F26" s="7"/>
      <c r="G26" s="7"/>
      <c r="H26" s="7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8"/>
    </row>
    <row r="28" customFormat="false" ht="15" hidden="false" customHeight="false" outlineLevel="0" collapsed="false">
      <c r="A28" s="7"/>
      <c r="B28" s="7"/>
      <c r="C28" s="7"/>
      <c r="D28" s="7"/>
      <c r="E28" s="7"/>
      <c r="F28" s="7"/>
      <c r="G28" s="7"/>
      <c r="H28" s="7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  <c r="H29" s="8"/>
    </row>
    <row r="30" customFormat="false" ht="15" hidden="false" customHeight="false" outlineLevel="0" collapsed="false">
      <c r="A30" s="7"/>
      <c r="B30" s="7"/>
      <c r="C30" s="7"/>
      <c r="D30" s="7"/>
      <c r="E30" s="7"/>
      <c r="F30" s="7"/>
      <c r="G30" s="7"/>
      <c r="H30" s="7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  <c r="H31" s="8"/>
    </row>
    <row r="32" customFormat="false" ht="15" hidden="false" customHeight="false" outlineLevel="0" collapsed="false">
      <c r="A32" s="7"/>
      <c r="B32" s="7"/>
      <c r="C32" s="7"/>
      <c r="D32" s="7"/>
      <c r="E32" s="7"/>
      <c r="F32" s="7"/>
      <c r="G32" s="7"/>
      <c r="H32" s="7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  <c r="H33" s="8"/>
    </row>
    <row r="34" customFormat="false" ht="15" hidden="false" customHeight="false" outlineLevel="0" collapsed="false">
      <c r="A34" s="7"/>
      <c r="B34" s="7"/>
      <c r="C34" s="7"/>
      <c r="D34" s="7"/>
      <c r="E34" s="7"/>
      <c r="F34" s="7"/>
      <c r="G34" s="7"/>
      <c r="H34" s="7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8"/>
      <c r="H35" s="8"/>
    </row>
    <row r="36" customFormat="false" ht="15" hidden="false" customHeight="false" outlineLevel="0" collapsed="false">
      <c r="A36" s="7"/>
      <c r="B36" s="7"/>
      <c r="C36" s="7"/>
      <c r="D36" s="7"/>
      <c r="E36" s="7"/>
      <c r="F36" s="7"/>
      <c r="G36" s="7"/>
      <c r="H36" s="7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8"/>
      <c r="H37" s="8"/>
    </row>
    <row r="38" customFormat="false" ht="15" hidden="false" customHeight="false" outlineLevel="0" collapsed="false">
      <c r="A38" s="7"/>
      <c r="B38" s="7"/>
      <c r="C38" s="7"/>
      <c r="D38" s="7"/>
      <c r="E38" s="7"/>
      <c r="F38" s="7"/>
      <c r="G38" s="7"/>
      <c r="H38" s="7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8"/>
      <c r="H39" s="8"/>
    </row>
    <row r="40" customFormat="false" ht="15" hidden="false" customHeight="false" outlineLevel="0" collapsed="false">
      <c r="A40" s="7"/>
      <c r="B40" s="7"/>
      <c r="C40" s="7"/>
      <c r="D40" s="7"/>
      <c r="E40" s="7"/>
      <c r="F40" s="7"/>
      <c r="G40" s="7"/>
      <c r="H40" s="7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8"/>
      <c r="H41" s="8"/>
    </row>
    <row r="42" customFormat="false" ht="15" hidden="false" customHeight="false" outlineLevel="0" collapsed="false">
      <c r="A42" s="7"/>
      <c r="B42" s="7"/>
      <c r="C42" s="7"/>
      <c r="D42" s="7"/>
      <c r="E42" s="7"/>
      <c r="F42" s="7"/>
      <c r="G42" s="7"/>
      <c r="H42" s="7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8"/>
      <c r="H43" s="8"/>
    </row>
    <row r="44" customFormat="false" ht="15" hidden="false" customHeight="false" outlineLevel="0" collapsed="false">
      <c r="A44" s="7"/>
      <c r="B44" s="7"/>
      <c r="C44" s="7"/>
      <c r="D44" s="7"/>
      <c r="E44" s="7"/>
      <c r="F44" s="7"/>
      <c r="G44" s="7"/>
      <c r="H44" s="7"/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8"/>
      <c r="H45" s="8"/>
    </row>
    <row r="46" customFormat="false" ht="15" hidden="false" customHeight="false" outlineLevel="0" collapsed="false">
      <c r="A46" s="7"/>
      <c r="B46" s="7"/>
      <c r="C46" s="7"/>
      <c r="D46" s="7"/>
      <c r="E46" s="7"/>
      <c r="F46" s="7"/>
      <c r="G46" s="7"/>
      <c r="H46" s="7"/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8"/>
      <c r="H47" s="8"/>
    </row>
    <row r="48" customFormat="false" ht="15" hidden="false" customHeight="false" outlineLevel="0" collapsed="false">
      <c r="A48" s="7"/>
      <c r="B48" s="7"/>
      <c r="C48" s="7"/>
      <c r="D48" s="7"/>
      <c r="E48" s="7"/>
      <c r="F48" s="7"/>
      <c r="G48" s="7"/>
      <c r="H48" s="7"/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  <c r="H49" s="8"/>
    </row>
    <row r="50" customFormat="false" ht="15" hidden="false" customHeight="false" outlineLevel="0" collapsed="false">
      <c r="A50" s="7"/>
      <c r="B50" s="7"/>
      <c r="C50" s="7"/>
      <c r="D50" s="7"/>
      <c r="E50" s="7"/>
      <c r="F50" s="7"/>
      <c r="G50" s="7"/>
      <c r="H50" s="7"/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  <c r="H51" s="8"/>
    </row>
    <row r="52" customFormat="false" ht="15" hidden="false" customHeight="false" outlineLevel="0" collapsed="false">
      <c r="A52" s="7"/>
      <c r="B52" s="7"/>
      <c r="C52" s="7"/>
      <c r="D52" s="7"/>
      <c r="E52" s="7"/>
      <c r="F52" s="7"/>
      <c r="G52" s="7"/>
      <c r="H52" s="7"/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  <c r="H53" s="8"/>
    </row>
    <row r="54" customFormat="false" ht="15" hidden="false" customHeight="false" outlineLevel="0" collapsed="false">
      <c r="A54" s="7"/>
      <c r="B54" s="7"/>
      <c r="C54" s="7"/>
      <c r="D54" s="7"/>
      <c r="E54" s="7"/>
      <c r="F54" s="7"/>
      <c r="G54" s="7"/>
      <c r="H54" s="7"/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8"/>
      <c r="H55" s="8"/>
    </row>
    <row r="56" customFormat="false" ht="15" hidden="false" customHeight="false" outlineLevel="0" collapsed="false">
      <c r="A56" s="7"/>
      <c r="B56" s="7"/>
      <c r="C56" s="7"/>
      <c r="D56" s="7"/>
      <c r="E56" s="7"/>
      <c r="F56" s="7"/>
      <c r="G56" s="7"/>
      <c r="H56" s="7"/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  <c r="G57" s="8"/>
      <c r="H57" s="8"/>
    </row>
    <row r="58" customFormat="false" ht="15" hidden="false" customHeight="false" outlineLevel="0" collapsed="false">
      <c r="A58" s="7"/>
      <c r="B58" s="7"/>
      <c r="C58" s="7"/>
      <c r="D58" s="7"/>
      <c r="E58" s="7"/>
      <c r="F58" s="7"/>
      <c r="G58" s="7"/>
      <c r="H58" s="7"/>
    </row>
    <row r="59" customFormat="false" ht="15" hidden="false" customHeight="false" outlineLevel="0" collapsed="false">
      <c r="A59" s="8"/>
      <c r="B59" s="8"/>
      <c r="C59" s="8"/>
      <c r="D59" s="8"/>
      <c r="E59" s="8"/>
      <c r="F59" s="8"/>
      <c r="G59" s="8"/>
      <c r="H59" s="8"/>
    </row>
    <row r="60" customFormat="false" ht="15" hidden="false" customHeight="false" outlineLevel="0" collapsed="false">
      <c r="A60" s="7"/>
      <c r="B60" s="7"/>
      <c r="C60" s="7"/>
      <c r="D60" s="7"/>
      <c r="E60" s="7"/>
      <c r="F60" s="7"/>
      <c r="G60" s="7"/>
      <c r="H60" s="7"/>
    </row>
    <row r="61" customFormat="false" ht="15" hidden="false" customHeight="false" outlineLevel="0" collapsed="false">
      <c r="A61" s="8"/>
      <c r="B61" s="8"/>
      <c r="C61" s="8"/>
      <c r="D61" s="8"/>
      <c r="E61" s="8"/>
      <c r="F61" s="8"/>
      <c r="G61" s="8"/>
      <c r="H61" s="8"/>
    </row>
    <row r="62" customFormat="false" ht="15" hidden="false" customHeight="false" outlineLevel="0" collapsed="false">
      <c r="A62" s="7"/>
      <c r="B62" s="7"/>
      <c r="C62" s="7"/>
      <c r="D62" s="7"/>
      <c r="E62" s="7"/>
      <c r="F62" s="7"/>
      <c r="G62" s="7"/>
      <c r="H62" s="7"/>
    </row>
    <row r="63" customFormat="false" ht="15" hidden="false" customHeight="false" outlineLevel="0" collapsed="false">
      <c r="A63" s="8"/>
      <c r="B63" s="8"/>
      <c r="C63" s="8"/>
      <c r="D63" s="8"/>
      <c r="E63" s="8"/>
      <c r="F63" s="8"/>
      <c r="G63" s="8"/>
      <c r="H63" s="8"/>
    </row>
    <row r="64" customFormat="false" ht="15" hidden="false" customHeight="false" outlineLevel="0" collapsed="false">
      <c r="A64" s="7"/>
      <c r="B64" s="7"/>
      <c r="C64" s="7"/>
      <c r="D64" s="7"/>
      <c r="E64" s="7"/>
      <c r="F64" s="7"/>
      <c r="G64" s="7"/>
      <c r="H64" s="7"/>
    </row>
    <row r="65" customFormat="false" ht="15" hidden="false" customHeight="false" outlineLevel="0" collapsed="false">
      <c r="A65" s="8"/>
      <c r="B65" s="8"/>
      <c r="C65" s="8"/>
      <c r="D65" s="8"/>
      <c r="E65" s="8"/>
      <c r="F65" s="8"/>
      <c r="G65" s="8"/>
      <c r="H65" s="8"/>
    </row>
    <row r="66" customFormat="false" ht="15" hidden="false" customHeight="false" outlineLevel="0" collapsed="false">
      <c r="A66" s="7"/>
      <c r="B66" s="7"/>
      <c r="C66" s="7"/>
      <c r="D66" s="7"/>
      <c r="E66" s="7"/>
      <c r="F66" s="7"/>
      <c r="G66" s="7"/>
      <c r="H66" s="7"/>
    </row>
    <row r="67" customFormat="false" ht="15" hidden="false" customHeight="false" outlineLevel="0" collapsed="false">
      <c r="A67" s="8"/>
      <c r="B67" s="8"/>
      <c r="C67" s="8"/>
      <c r="D67" s="8"/>
      <c r="E67" s="8"/>
      <c r="F67" s="8"/>
      <c r="G67" s="8"/>
      <c r="H67" s="8"/>
    </row>
    <row r="68" customFormat="false" ht="15" hidden="false" customHeight="false" outlineLevel="0" collapsed="false">
      <c r="A68" s="7"/>
      <c r="B68" s="7"/>
      <c r="C68" s="7"/>
      <c r="D68" s="7"/>
      <c r="E68" s="7"/>
      <c r="F68" s="7"/>
      <c r="G68" s="7"/>
      <c r="H68" s="7"/>
    </row>
    <row r="69" customFormat="false" ht="15" hidden="false" customHeight="false" outlineLevel="0" collapsed="false">
      <c r="A69" s="8"/>
      <c r="B69" s="8"/>
      <c r="C69" s="8"/>
      <c r="D69" s="8"/>
      <c r="E69" s="8"/>
      <c r="F69" s="8"/>
      <c r="G69" s="8"/>
      <c r="H69" s="8"/>
    </row>
    <row r="70" customFormat="false" ht="15" hidden="false" customHeight="false" outlineLevel="0" collapsed="false">
      <c r="A70" s="7"/>
      <c r="B70" s="7"/>
      <c r="C70" s="7"/>
      <c r="D70" s="7"/>
      <c r="E70" s="7"/>
      <c r="F70" s="7"/>
      <c r="G70" s="7"/>
      <c r="H70" s="7"/>
    </row>
    <row r="71" customFormat="false" ht="15" hidden="false" customHeight="false" outlineLevel="0" collapsed="false">
      <c r="A71" s="8"/>
      <c r="B71" s="8"/>
      <c r="C71" s="8"/>
      <c r="D71" s="8"/>
      <c r="E71" s="8"/>
      <c r="F71" s="8"/>
      <c r="G71" s="8"/>
      <c r="H71" s="8"/>
    </row>
    <row r="72" customFormat="false" ht="15" hidden="false" customHeight="false" outlineLevel="0" collapsed="false">
      <c r="A72" s="7"/>
      <c r="B72" s="7"/>
      <c r="C72" s="7"/>
      <c r="D72" s="7"/>
      <c r="E72" s="7"/>
      <c r="F72" s="7"/>
      <c r="G72" s="7"/>
      <c r="H72" s="7"/>
    </row>
    <row r="73" customFormat="false" ht="15" hidden="false" customHeight="false" outlineLevel="0" collapsed="false">
      <c r="A73" s="8"/>
      <c r="B73" s="8"/>
      <c r="C73" s="8"/>
      <c r="D73" s="8"/>
      <c r="E73" s="8"/>
      <c r="F73" s="8"/>
      <c r="G73" s="8"/>
      <c r="H73" s="8"/>
    </row>
    <row r="74" customFormat="false" ht="15" hidden="false" customHeight="false" outlineLevel="0" collapsed="false">
      <c r="A74" s="7"/>
      <c r="B74" s="7"/>
      <c r="C74" s="7"/>
      <c r="D74" s="7"/>
      <c r="E74" s="7"/>
      <c r="F74" s="7"/>
      <c r="G74" s="7"/>
      <c r="H74" s="7"/>
    </row>
    <row r="75" customFormat="false" ht="15" hidden="false" customHeight="false" outlineLevel="0" collapsed="false">
      <c r="A75" s="8"/>
      <c r="B75" s="8"/>
      <c r="C75" s="8"/>
      <c r="D75" s="8"/>
      <c r="E75" s="8"/>
      <c r="F75" s="8"/>
      <c r="G75" s="8"/>
      <c r="H75" s="8"/>
    </row>
    <row r="76" customFormat="false" ht="15" hidden="false" customHeight="false" outlineLevel="0" collapsed="false">
      <c r="A76" s="7"/>
      <c r="B76" s="7"/>
      <c r="C76" s="7"/>
      <c r="D76" s="7"/>
      <c r="E76" s="7"/>
      <c r="F76" s="7"/>
      <c r="G76" s="7"/>
      <c r="H76" s="7"/>
    </row>
    <row r="77" customFormat="false" ht="15" hidden="false" customHeight="false" outlineLevel="0" collapsed="false">
      <c r="A77" s="8"/>
      <c r="B77" s="8"/>
      <c r="C77" s="8"/>
      <c r="D77" s="8"/>
      <c r="E77" s="8"/>
      <c r="F77" s="8"/>
      <c r="G77" s="8"/>
      <c r="H77" s="8"/>
    </row>
    <row r="78" customFormat="false" ht="15" hidden="false" customHeight="false" outlineLevel="0" collapsed="false">
      <c r="A78" s="7"/>
      <c r="B78" s="7"/>
      <c r="C78" s="7"/>
      <c r="D78" s="7"/>
      <c r="E78" s="7"/>
      <c r="F78" s="7"/>
      <c r="G78" s="7"/>
      <c r="H78" s="7"/>
    </row>
    <row r="79" customFormat="false" ht="15" hidden="false" customHeight="false" outlineLevel="0" collapsed="false">
      <c r="A79" s="8"/>
      <c r="B79" s="8"/>
      <c r="C79" s="8"/>
      <c r="D79" s="8"/>
      <c r="E79" s="8"/>
      <c r="F79" s="8"/>
      <c r="G79" s="8"/>
      <c r="H79" s="8"/>
    </row>
    <row r="80" customFormat="false" ht="15" hidden="false" customHeight="false" outlineLevel="0" collapsed="false">
      <c r="A80" s="7"/>
      <c r="B80" s="7"/>
      <c r="C80" s="7"/>
      <c r="D80" s="7"/>
      <c r="E80" s="7"/>
      <c r="F80" s="7"/>
      <c r="G80" s="7"/>
      <c r="H80" s="7"/>
    </row>
    <row r="81" customFormat="false" ht="15" hidden="false" customHeight="false" outlineLevel="0" collapsed="false">
      <c r="A81" s="8"/>
      <c r="B81" s="8"/>
      <c r="C81" s="8"/>
      <c r="D81" s="8"/>
      <c r="E81" s="8"/>
      <c r="F81" s="8"/>
      <c r="G81" s="8"/>
      <c r="H81" s="8"/>
    </row>
    <row r="82" customFormat="false" ht="15" hidden="false" customHeight="false" outlineLevel="0" collapsed="false">
      <c r="A82" s="7"/>
      <c r="B82" s="7"/>
      <c r="C82" s="7"/>
      <c r="D82" s="7"/>
      <c r="E82" s="7"/>
      <c r="F82" s="7"/>
      <c r="G82" s="7"/>
      <c r="H82" s="7"/>
    </row>
    <row r="83" customFormat="false" ht="15" hidden="false" customHeight="false" outlineLevel="0" collapsed="false">
      <c r="A83" s="8"/>
      <c r="B83" s="8"/>
      <c r="C83" s="8"/>
      <c r="D83" s="8"/>
      <c r="E83" s="8"/>
      <c r="F83" s="8"/>
      <c r="G83" s="8"/>
      <c r="H83" s="8"/>
    </row>
    <row r="84" customFormat="false" ht="15" hidden="false" customHeight="false" outlineLevel="0" collapsed="false">
      <c r="A84" s="7"/>
      <c r="B84" s="7"/>
      <c r="C84" s="7"/>
      <c r="D84" s="7"/>
      <c r="E84" s="7"/>
      <c r="F84" s="7"/>
      <c r="G84" s="7"/>
      <c r="H84" s="7"/>
    </row>
    <row r="85" customFormat="false" ht="15" hidden="false" customHeight="false" outlineLevel="0" collapsed="false">
      <c r="A85" s="8"/>
      <c r="B85" s="8"/>
      <c r="C85" s="8"/>
      <c r="D85" s="8"/>
      <c r="E85" s="8"/>
      <c r="F85" s="8"/>
      <c r="G85" s="8"/>
      <c r="H85" s="8"/>
    </row>
    <row r="86" customFormat="false" ht="15" hidden="false" customHeight="false" outlineLevel="0" collapsed="false">
      <c r="A86" s="7"/>
      <c r="B86" s="7"/>
      <c r="C86" s="7"/>
      <c r="D86" s="7"/>
      <c r="E86" s="7"/>
      <c r="F86" s="7"/>
      <c r="G86" s="7"/>
      <c r="H86" s="7"/>
    </row>
    <row r="87" customFormat="false" ht="15" hidden="false" customHeight="false" outlineLevel="0" collapsed="false">
      <c r="A87" s="8"/>
      <c r="B87" s="8"/>
      <c r="C87" s="8"/>
      <c r="D87" s="8"/>
      <c r="E87" s="8"/>
      <c r="F87" s="8"/>
      <c r="G87" s="8"/>
      <c r="H87" s="8"/>
    </row>
    <row r="88" customFormat="false" ht="15" hidden="false" customHeight="false" outlineLevel="0" collapsed="false">
      <c r="A88" s="7"/>
      <c r="B88" s="7"/>
      <c r="C88" s="7"/>
      <c r="D88" s="7"/>
      <c r="E88" s="7"/>
      <c r="F88" s="7"/>
      <c r="G88" s="7"/>
      <c r="H88" s="7"/>
    </row>
    <row r="89" customFormat="false" ht="15" hidden="false" customHeight="false" outlineLevel="0" collapsed="false">
      <c r="A89" s="8"/>
      <c r="B89" s="8"/>
      <c r="C89" s="8"/>
      <c r="D89" s="8"/>
      <c r="E89" s="8"/>
      <c r="F89" s="8"/>
      <c r="G89" s="8"/>
      <c r="H89" s="8"/>
    </row>
    <row r="90" customFormat="false" ht="15" hidden="false" customHeight="false" outlineLevel="0" collapsed="false">
      <c r="A90" s="7"/>
      <c r="B90" s="7"/>
      <c r="C90" s="7"/>
      <c r="D90" s="7"/>
      <c r="E90" s="7"/>
      <c r="F90" s="7"/>
      <c r="G90" s="7"/>
      <c r="H90" s="7"/>
    </row>
    <row r="91" customFormat="false" ht="15" hidden="false" customHeight="false" outlineLevel="0" collapsed="false">
      <c r="A91" s="8"/>
      <c r="B91" s="8"/>
      <c r="C91" s="8"/>
      <c r="D91" s="8"/>
      <c r="E91" s="8"/>
      <c r="F91" s="8"/>
      <c r="G91" s="8"/>
      <c r="H91" s="8"/>
    </row>
    <row r="92" customFormat="false" ht="15" hidden="false" customHeight="false" outlineLevel="0" collapsed="false">
      <c r="A92" s="7"/>
      <c r="B92" s="7"/>
      <c r="C92" s="7"/>
      <c r="D92" s="7"/>
      <c r="E92" s="7"/>
      <c r="F92" s="7"/>
      <c r="G92" s="7"/>
      <c r="H92" s="7"/>
    </row>
    <row r="93" customFormat="false" ht="15" hidden="false" customHeight="false" outlineLevel="0" collapsed="false">
      <c r="A93" s="8"/>
      <c r="B93" s="8"/>
      <c r="C93" s="8"/>
      <c r="D93" s="8"/>
      <c r="E93" s="8"/>
      <c r="F93" s="8"/>
      <c r="G93" s="8"/>
      <c r="H93" s="8"/>
    </row>
    <row r="94" customFormat="false" ht="15" hidden="false" customHeight="false" outlineLevel="0" collapsed="false">
      <c r="A94" s="7"/>
      <c r="B94" s="7"/>
      <c r="C94" s="7"/>
      <c r="D94" s="7"/>
      <c r="E94" s="7"/>
      <c r="F94" s="7"/>
      <c r="G94" s="7"/>
      <c r="H94" s="7"/>
    </row>
    <row r="95" customFormat="false" ht="15" hidden="false" customHeight="false" outlineLevel="0" collapsed="false">
      <c r="A95" s="8"/>
      <c r="B95" s="8"/>
      <c r="C95" s="8"/>
      <c r="D95" s="8"/>
      <c r="E95" s="8"/>
      <c r="F95" s="8"/>
      <c r="G95" s="8"/>
      <c r="H95" s="8"/>
    </row>
    <row r="96" customFormat="false" ht="15" hidden="false" customHeight="false" outlineLevel="0" collapsed="false">
      <c r="A96" s="7"/>
      <c r="B96" s="7"/>
      <c r="C96" s="7"/>
      <c r="D96" s="7"/>
      <c r="E96" s="7"/>
      <c r="F96" s="7"/>
      <c r="G96" s="7"/>
      <c r="H96" s="7"/>
    </row>
    <row r="97" customFormat="false" ht="15" hidden="false" customHeight="false" outlineLevel="0" collapsed="false">
      <c r="A97" s="8"/>
      <c r="B97" s="8"/>
      <c r="C97" s="8"/>
      <c r="D97" s="8"/>
      <c r="E97" s="8"/>
      <c r="F97" s="8"/>
      <c r="G97" s="8"/>
      <c r="H97" s="8"/>
    </row>
    <row r="98" customFormat="false" ht="15" hidden="false" customHeight="false" outlineLevel="0" collapsed="false">
      <c r="A98" s="7"/>
      <c r="B98" s="7"/>
      <c r="C98" s="7"/>
      <c r="D98" s="7"/>
      <c r="E98" s="7"/>
      <c r="F98" s="7"/>
      <c r="G98" s="7"/>
      <c r="H98" s="7"/>
    </row>
    <row r="99" customFormat="false" ht="15" hidden="false" customHeight="false" outlineLevel="0" collapsed="false">
      <c r="A99" s="8"/>
      <c r="B99" s="8"/>
      <c r="C99" s="8"/>
      <c r="D99" s="8"/>
      <c r="E99" s="8"/>
      <c r="F99" s="8"/>
      <c r="G99" s="8"/>
      <c r="H99" s="8"/>
    </row>
    <row r="100" customFormat="false" ht="15" hidden="false" customHeight="false" outlineLevel="0" collapsed="false">
      <c r="A100" s="7"/>
      <c r="B100" s="7"/>
      <c r="C100" s="7"/>
      <c r="D100" s="7"/>
      <c r="E100" s="7"/>
      <c r="F100" s="7"/>
      <c r="G100" s="7"/>
      <c r="H100" s="7"/>
    </row>
    <row r="101" customFormat="false" ht="15" hidden="false" customHeight="false" outlineLevel="0" collapsed="false">
      <c r="A101" s="8"/>
      <c r="B101" s="8"/>
      <c r="C101" s="8"/>
      <c r="D101" s="8"/>
      <c r="E101" s="8"/>
      <c r="F101" s="8"/>
      <c r="G101" s="8"/>
      <c r="H101" s="8"/>
    </row>
    <row r="102" customFormat="false" ht="15" hidden="false" customHeight="false" outlineLevel="0" collapsed="false">
      <c r="A102" s="7"/>
      <c r="B102" s="7"/>
      <c r="C102" s="7"/>
      <c r="D102" s="7"/>
      <c r="E102" s="7"/>
      <c r="F102" s="7"/>
      <c r="G102" s="7"/>
      <c r="H102" s="7"/>
    </row>
    <row r="103" customFormat="false" ht="15" hidden="false" customHeight="false" outlineLevel="0" collapsed="false">
      <c r="A103" s="8"/>
      <c r="B103" s="8"/>
      <c r="C103" s="8"/>
      <c r="D103" s="8"/>
      <c r="E103" s="8"/>
      <c r="F103" s="8"/>
      <c r="G103" s="8"/>
      <c r="H103" s="8"/>
    </row>
    <row r="104" customFormat="false" ht="15" hidden="false" customHeight="false" outlineLevel="0" collapsed="false">
      <c r="A104" s="7"/>
      <c r="B104" s="7"/>
      <c r="C104" s="7"/>
      <c r="D104" s="7"/>
      <c r="E104" s="7"/>
      <c r="F104" s="7"/>
      <c r="G104" s="7"/>
      <c r="H104" s="7"/>
    </row>
    <row r="105" customFormat="false" ht="15" hidden="false" customHeight="false" outlineLevel="0" collapsed="false">
      <c r="A105" s="8"/>
      <c r="B105" s="8"/>
      <c r="C105" s="8"/>
      <c r="D105" s="8"/>
      <c r="E105" s="8"/>
      <c r="F105" s="8"/>
      <c r="G105" s="8"/>
      <c r="H105" s="8"/>
    </row>
    <row r="106" customFormat="false" ht="15" hidden="false" customHeight="false" outlineLevel="0" collapsed="false">
      <c r="A106" s="7"/>
      <c r="B106" s="7"/>
      <c r="C106" s="7"/>
      <c r="D106" s="7"/>
      <c r="E106" s="7"/>
      <c r="F106" s="7"/>
      <c r="G106" s="7"/>
      <c r="H106" s="7"/>
    </row>
    <row r="107" customFormat="false" ht="15" hidden="false" customHeight="false" outlineLevel="0" collapsed="false">
      <c r="A107" s="8"/>
      <c r="B107" s="8"/>
      <c r="C107" s="8"/>
      <c r="D107" s="8"/>
      <c r="E107" s="8"/>
      <c r="F107" s="8"/>
      <c r="G107" s="8"/>
      <c r="H107" s="8"/>
    </row>
    <row r="108" customFormat="false" ht="15" hidden="false" customHeight="false" outlineLevel="0" collapsed="false">
      <c r="A108" s="7"/>
      <c r="B108" s="7"/>
      <c r="C108" s="7"/>
      <c r="D108" s="7"/>
      <c r="E108" s="7"/>
      <c r="F108" s="7"/>
      <c r="G108" s="7"/>
      <c r="H108" s="7"/>
    </row>
    <row r="109" customFormat="false" ht="15" hidden="false" customHeight="false" outlineLevel="0" collapsed="false">
      <c r="A109" s="8"/>
      <c r="B109" s="8"/>
      <c r="C109" s="8"/>
      <c r="D109" s="8"/>
      <c r="E109" s="8"/>
      <c r="F109" s="8"/>
      <c r="G109" s="8"/>
      <c r="H109" s="8"/>
    </row>
    <row r="110" customFormat="false" ht="15" hidden="false" customHeight="false" outlineLevel="0" collapsed="false">
      <c r="A110" s="7"/>
      <c r="B110" s="7"/>
      <c r="C110" s="7"/>
      <c r="D110" s="7"/>
      <c r="E110" s="7"/>
      <c r="F110" s="7"/>
      <c r="G110" s="7"/>
      <c r="H110" s="7"/>
    </row>
    <row r="111" customFormat="false" ht="15" hidden="false" customHeight="false" outlineLevel="0" collapsed="false">
      <c r="A111" s="8"/>
      <c r="B111" s="8"/>
      <c r="C111" s="8"/>
      <c r="D111" s="8"/>
      <c r="E111" s="8"/>
      <c r="F111" s="8"/>
      <c r="G111" s="8"/>
      <c r="H111" s="8"/>
    </row>
    <row r="112" customFormat="false" ht="15" hidden="false" customHeight="false" outlineLevel="0" collapsed="false">
      <c r="A112" s="7"/>
      <c r="B112" s="7"/>
      <c r="C112" s="7"/>
      <c r="D112" s="7"/>
      <c r="E112" s="7"/>
      <c r="F112" s="7"/>
      <c r="G112" s="7"/>
      <c r="H112" s="7"/>
    </row>
    <row r="113" customFormat="false" ht="15" hidden="false" customHeight="false" outlineLevel="0" collapsed="false">
      <c r="A113" s="8"/>
      <c r="B113" s="8"/>
      <c r="C113" s="8"/>
      <c r="D113" s="8"/>
      <c r="E113" s="8"/>
      <c r="F113" s="8"/>
      <c r="G113" s="8"/>
      <c r="H113" s="8"/>
    </row>
    <row r="114" customFormat="false" ht="15" hidden="false" customHeight="false" outlineLevel="0" collapsed="false">
      <c r="A114" s="7"/>
      <c r="B114" s="7"/>
      <c r="C114" s="7"/>
      <c r="D114" s="7"/>
      <c r="E114" s="7"/>
      <c r="F114" s="7"/>
      <c r="G114" s="7"/>
      <c r="H114" s="7"/>
    </row>
    <row r="115" customFormat="false" ht="15" hidden="false" customHeight="false" outlineLevel="0" collapsed="false">
      <c r="A115" s="8"/>
      <c r="B115" s="8"/>
      <c r="C115" s="8"/>
      <c r="D115" s="8"/>
      <c r="E115" s="8"/>
      <c r="F115" s="8"/>
      <c r="G115" s="8"/>
      <c r="H115" s="8"/>
    </row>
    <row r="116" customFormat="false" ht="15" hidden="false" customHeight="false" outlineLevel="0" collapsed="false">
      <c r="A116" s="7"/>
      <c r="B116" s="7"/>
      <c r="C116" s="7"/>
      <c r="D116" s="7"/>
      <c r="E116" s="7"/>
      <c r="F116" s="7"/>
      <c r="G116" s="7"/>
      <c r="H116" s="7"/>
    </row>
    <row r="117" customFormat="false" ht="15" hidden="false" customHeight="false" outlineLevel="0" collapsed="false">
      <c r="A117" s="8"/>
      <c r="B117" s="8"/>
      <c r="C117" s="8"/>
      <c r="D117" s="8"/>
      <c r="E117" s="8"/>
      <c r="F117" s="8"/>
      <c r="G117" s="8"/>
      <c r="H117" s="8"/>
    </row>
    <row r="118" customFormat="false" ht="15" hidden="false" customHeight="false" outlineLevel="0" collapsed="false">
      <c r="A118" s="7"/>
      <c r="B118" s="7"/>
      <c r="C118" s="7"/>
      <c r="D118" s="7"/>
      <c r="E118" s="7"/>
      <c r="F118" s="7"/>
      <c r="G118" s="7"/>
      <c r="H118" s="7"/>
    </row>
    <row r="119" customFormat="false" ht="15" hidden="false" customHeight="false" outlineLevel="0" collapsed="false">
      <c r="A119" s="8"/>
      <c r="B119" s="8"/>
      <c r="C119" s="8"/>
      <c r="D119" s="8"/>
      <c r="E119" s="8"/>
      <c r="F119" s="8"/>
      <c r="G119" s="8"/>
      <c r="H119" s="8"/>
    </row>
    <row r="120" customFormat="false" ht="15" hidden="false" customHeight="false" outlineLevel="0" collapsed="false">
      <c r="A120" s="7"/>
      <c r="B120" s="7"/>
      <c r="C120" s="7"/>
      <c r="D120" s="7"/>
      <c r="E120" s="7"/>
      <c r="F120" s="7"/>
      <c r="G120" s="7"/>
      <c r="H120" s="7"/>
    </row>
    <row r="121" customFormat="false" ht="15" hidden="false" customHeight="false" outlineLevel="0" collapsed="false">
      <c r="A121" s="8"/>
      <c r="B121" s="8"/>
      <c r="C121" s="8"/>
      <c r="D121" s="8"/>
      <c r="E121" s="8"/>
      <c r="F121" s="8"/>
      <c r="G121" s="8"/>
      <c r="H121" s="8"/>
    </row>
    <row r="122" customFormat="false" ht="15" hidden="false" customHeight="false" outlineLevel="0" collapsed="false">
      <c r="A122" s="7"/>
      <c r="B122" s="7"/>
      <c r="C122" s="7"/>
      <c r="D122" s="7"/>
      <c r="E122" s="7"/>
      <c r="F122" s="7"/>
      <c r="G122" s="7"/>
      <c r="H122" s="7"/>
    </row>
    <row r="123" customFormat="false" ht="15" hidden="false" customHeight="false" outlineLevel="0" collapsed="false">
      <c r="A123" s="8"/>
      <c r="B123" s="8"/>
      <c r="C123" s="8"/>
      <c r="D123" s="8"/>
      <c r="E123" s="8"/>
      <c r="F123" s="8"/>
      <c r="G123" s="8"/>
      <c r="H123" s="8"/>
    </row>
    <row r="124" customFormat="false" ht="15" hidden="false" customHeight="false" outlineLevel="0" collapsed="false">
      <c r="A124" s="7"/>
      <c r="B124" s="7"/>
      <c r="C124" s="7"/>
      <c r="D124" s="7"/>
      <c r="E124" s="7"/>
      <c r="F124" s="7"/>
      <c r="G124" s="7"/>
      <c r="H124" s="7"/>
    </row>
    <row r="125" customFormat="false" ht="15" hidden="false" customHeight="false" outlineLevel="0" collapsed="false">
      <c r="A125" s="8"/>
      <c r="B125" s="8"/>
      <c r="C125" s="8"/>
      <c r="D125" s="8"/>
      <c r="E125" s="8"/>
      <c r="F125" s="8"/>
      <c r="G125" s="8"/>
      <c r="H125" s="8"/>
    </row>
    <row r="126" customFormat="false" ht="15" hidden="false" customHeight="false" outlineLevel="0" collapsed="false">
      <c r="A126" s="7"/>
      <c r="B126" s="7"/>
      <c r="C126" s="7"/>
      <c r="D126" s="7"/>
      <c r="E126" s="7"/>
      <c r="F126" s="7"/>
      <c r="G126" s="7"/>
      <c r="H126" s="7"/>
    </row>
    <row r="127" customFormat="false" ht="15" hidden="false" customHeight="false" outlineLevel="0" collapsed="false">
      <c r="A127" s="8"/>
      <c r="B127" s="8"/>
      <c r="C127" s="8"/>
      <c r="D127" s="8"/>
      <c r="E127" s="8"/>
      <c r="F127" s="8"/>
      <c r="G127" s="8"/>
      <c r="H127" s="8"/>
    </row>
    <row r="128" customFormat="false" ht="15" hidden="false" customHeight="false" outlineLevel="0" collapsed="false">
      <c r="A128" s="7"/>
      <c r="B128" s="7"/>
      <c r="C128" s="7"/>
      <c r="D128" s="7"/>
      <c r="E128" s="7"/>
      <c r="F128" s="7"/>
      <c r="G128" s="7"/>
      <c r="H128" s="7"/>
    </row>
    <row r="129" customFormat="false" ht="15" hidden="false" customHeight="false" outlineLevel="0" collapsed="false">
      <c r="A129" s="8"/>
      <c r="B129" s="8"/>
      <c r="C129" s="8"/>
      <c r="D129" s="8"/>
      <c r="E129" s="8"/>
      <c r="F129" s="8"/>
      <c r="G129" s="8"/>
      <c r="H129" s="8"/>
    </row>
    <row r="130" customFormat="false" ht="15" hidden="false" customHeight="false" outlineLevel="0" collapsed="false">
      <c r="A130" s="7"/>
      <c r="B130" s="7"/>
      <c r="C130" s="7"/>
      <c r="D130" s="7"/>
      <c r="E130" s="7"/>
      <c r="F130" s="7"/>
      <c r="G130" s="7"/>
      <c r="H130" s="7"/>
    </row>
    <row r="131" customFormat="false" ht="15" hidden="false" customHeight="false" outlineLevel="0" collapsed="false">
      <c r="A131" s="8"/>
      <c r="B131" s="8"/>
      <c r="C131" s="8"/>
      <c r="D131" s="8"/>
      <c r="E131" s="8"/>
      <c r="F131" s="8"/>
      <c r="G131" s="8"/>
      <c r="H131" s="8"/>
    </row>
    <row r="132" customFormat="false" ht="15" hidden="false" customHeight="false" outlineLevel="0" collapsed="false">
      <c r="A132" s="7"/>
      <c r="B132" s="7"/>
      <c r="C132" s="7"/>
      <c r="D132" s="7"/>
      <c r="E132" s="7"/>
      <c r="F132" s="7"/>
      <c r="G132" s="7"/>
      <c r="H132" s="7"/>
    </row>
    <row r="133" customFormat="false" ht="15" hidden="false" customHeight="false" outlineLevel="0" collapsed="false">
      <c r="A133" s="8"/>
      <c r="B133" s="8"/>
      <c r="C133" s="8"/>
      <c r="D133" s="8"/>
      <c r="E133" s="8"/>
      <c r="F133" s="8"/>
      <c r="G133" s="8"/>
      <c r="H133" s="8"/>
    </row>
    <row r="134" customFormat="false" ht="15" hidden="false" customHeight="false" outlineLevel="0" collapsed="false">
      <c r="A134" s="7"/>
      <c r="B134" s="7"/>
      <c r="C134" s="7"/>
      <c r="D134" s="7"/>
      <c r="E134" s="7"/>
      <c r="F134" s="7"/>
      <c r="G134" s="7"/>
      <c r="H134" s="7"/>
    </row>
    <row r="135" customFormat="false" ht="15" hidden="false" customHeight="false" outlineLevel="0" collapsed="false">
      <c r="A135" s="8"/>
      <c r="B135" s="8"/>
      <c r="C135" s="8"/>
      <c r="D135" s="8"/>
      <c r="E135" s="8"/>
      <c r="F135" s="8"/>
      <c r="G135" s="8"/>
      <c r="H135" s="8"/>
    </row>
    <row r="136" customFormat="false" ht="15" hidden="false" customHeight="false" outlineLevel="0" collapsed="false">
      <c r="A136" s="7"/>
      <c r="B136" s="7"/>
      <c r="C136" s="7"/>
      <c r="D136" s="7"/>
      <c r="E136" s="7"/>
      <c r="F136" s="7"/>
      <c r="G136" s="7"/>
      <c r="H136" s="7"/>
    </row>
    <row r="137" customFormat="false" ht="15" hidden="false" customHeight="false" outlineLevel="0" collapsed="false">
      <c r="A137" s="8"/>
      <c r="B137" s="8"/>
      <c r="C137" s="8"/>
      <c r="D137" s="8"/>
      <c r="E137" s="8"/>
      <c r="F137" s="8"/>
      <c r="G137" s="8"/>
      <c r="H137" s="8"/>
    </row>
    <row r="138" customFormat="false" ht="15" hidden="false" customHeight="false" outlineLevel="0" collapsed="false">
      <c r="A138" s="7"/>
      <c r="B138" s="7"/>
      <c r="C138" s="7"/>
      <c r="D138" s="7"/>
      <c r="E138" s="7"/>
      <c r="F138" s="7"/>
      <c r="G138" s="7"/>
      <c r="H138" s="7"/>
    </row>
    <row r="139" customFormat="false" ht="15" hidden="false" customHeight="false" outlineLevel="0" collapsed="false">
      <c r="A139" s="8"/>
      <c r="B139" s="8"/>
      <c r="C139" s="8"/>
      <c r="D139" s="8"/>
      <c r="E139" s="8"/>
      <c r="F139" s="8"/>
      <c r="G139" s="8"/>
      <c r="H139" s="8"/>
    </row>
    <row r="140" customFormat="false" ht="15" hidden="false" customHeight="false" outlineLevel="0" collapsed="false">
      <c r="A140" s="7"/>
      <c r="B140" s="7"/>
      <c r="C140" s="7"/>
      <c r="D140" s="7"/>
      <c r="E140" s="7"/>
      <c r="F140" s="7"/>
      <c r="G140" s="7"/>
      <c r="H140" s="7"/>
    </row>
    <row r="141" customFormat="false" ht="15" hidden="false" customHeight="false" outlineLevel="0" collapsed="false">
      <c r="A141" s="8"/>
      <c r="B141" s="8"/>
      <c r="C141" s="8"/>
      <c r="D141" s="8"/>
      <c r="E141" s="8"/>
      <c r="F141" s="8"/>
      <c r="G141" s="8"/>
      <c r="H141" s="8"/>
    </row>
    <row r="142" customFormat="false" ht="15" hidden="false" customHeight="false" outlineLevel="0" collapsed="false">
      <c r="A142" s="7"/>
      <c r="B142" s="7"/>
      <c r="C142" s="7"/>
      <c r="D142" s="7"/>
      <c r="E142" s="7"/>
      <c r="F142" s="7"/>
      <c r="G142" s="7"/>
      <c r="H142" s="7"/>
    </row>
    <row r="143" customFormat="false" ht="15" hidden="false" customHeight="false" outlineLevel="0" collapsed="false">
      <c r="A143" s="8"/>
      <c r="B143" s="8"/>
      <c r="C143" s="8"/>
      <c r="D143" s="8"/>
      <c r="E143" s="8"/>
      <c r="F143" s="8"/>
      <c r="G143" s="8"/>
      <c r="H143" s="8"/>
    </row>
    <row r="144" customFormat="false" ht="15" hidden="false" customHeight="false" outlineLevel="0" collapsed="false">
      <c r="A144" s="7"/>
      <c r="B144" s="7"/>
      <c r="C144" s="7"/>
      <c r="D144" s="7"/>
      <c r="E144" s="7"/>
      <c r="F144" s="7"/>
      <c r="G144" s="7"/>
      <c r="H144" s="7"/>
    </row>
    <row r="145" customFormat="false" ht="15" hidden="false" customHeight="false" outlineLevel="0" collapsed="false">
      <c r="A145" s="8"/>
      <c r="B145" s="8"/>
      <c r="C145" s="8"/>
      <c r="D145" s="8"/>
      <c r="E145" s="8"/>
      <c r="F145" s="8"/>
      <c r="G145" s="8"/>
      <c r="H145" s="8"/>
    </row>
    <row r="146" customFormat="false" ht="15" hidden="false" customHeight="false" outlineLevel="0" collapsed="false">
      <c r="A146" s="7"/>
      <c r="B146" s="7"/>
      <c r="C146" s="7"/>
      <c r="D146" s="7"/>
      <c r="E146" s="7"/>
      <c r="F146" s="7"/>
      <c r="G146" s="7"/>
      <c r="H146" s="7"/>
    </row>
    <row r="147" customFormat="false" ht="15" hidden="false" customHeight="false" outlineLevel="0" collapsed="false">
      <c r="A147" s="8"/>
      <c r="B147" s="8"/>
      <c r="C147" s="8"/>
      <c r="D147" s="8"/>
      <c r="E147" s="8"/>
      <c r="F147" s="8"/>
      <c r="G147" s="8"/>
      <c r="H147" s="8"/>
    </row>
    <row r="148" customFormat="false" ht="15" hidden="false" customHeight="false" outlineLevel="0" collapsed="false">
      <c r="A148" s="7"/>
      <c r="B148" s="7"/>
      <c r="C148" s="7"/>
      <c r="D148" s="7"/>
      <c r="E148" s="7"/>
      <c r="F148" s="7"/>
      <c r="G148" s="7"/>
      <c r="H148" s="7"/>
    </row>
    <row r="149" customFormat="false" ht="15" hidden="false" customHeight="false" outlineLevel="0" collapsed="false">
      <c r="A149" s="8"/>
      <c r="B149" s="8"/>
      <c r="C149" s="8"/>
      <c r="D149" s="8"/>
      <c r="E149" s="8"/>
      <c r="F149" s="8"/>
      <c r="G149" s="8"/>
      <c r="H149" s="8"/>
    </row>
    <row r="150" customFormat="false" ht="15" hidden="false" customHeight="false" outlineLevel="0" collapsed="false">
      <c r="A150" s="7"/>
      <c r="B150" s="7"/>
      <c r="C150" s="7"/>
      <c r="D150" s="7"/>
      <c r="E150" s="7"/>
      <c r="F150" s="7"/>
      <c r="G150" s="7"/>
      <c r="H150" s="7"/>
    </row>
    <row r="151" customFormat="false" ht="15" hidden="false" customHeight="false" outlineLevel="0" collapsed="false">
      <c r="A151" s="8"/>
      <c r="B151" s="8"/>
      <c r="C151" s="8"/>
      <c r="D151" s="8"/>
      <c r="E151" s="8"/>
      <c r="F151" s="8"/>
      <c r="G151" s="8"/>
      <c r="H151" s="8"/>
    </row>
    <row r="152" customFormat="false" ht="15" hidden="false" customHeight="false" outlineLevel="0" collapsed="false">
      <c r="A152" s="7"/>
      <c r="B152" s="7"/>
      <c r="C152" s="7"/>
      <c r="D152" s="7"/>
      <c r="E152" s="7"/>
      <c r="F152" s="7"/>
      <c r="G152" s="7"/>
      <c r="H152" s="7"/>
    </row>
    <row r="153" customFormat="false" ht="15" hidden="false" customHeight="false" outlineLevel="0" collapsed="false">
      <c r="A153" s="8"/>
      <c r="B153" s="8"/>
      <c r="C153" s="8"/>
      <c r="D153" s="8"/>
      <c r="E153" s="8"/>
      <c r="F153" s="8"/>
      <c r="G153" s="8"/>
      <c r="H153" s="8"/>
    </row>
    <row r="154" customFormat="false" ht="15" hidden="false" customHeight="false" outlineLevel="0" collapsed="false">
      <c r="A154" s="7"/>
      <c r="B154" s="7"/>
      <c r="C154" s="7"/>
      <c r="D154" s="7"/>
      <c r="E154" s="7"/>
      <c r="F154" s="7"/>
      <c r="G154" s="7"/>
      <c r="H154" s="7"/>
    </row>
    <row r="155" customFormat="false" ht="15" hidden="false" customHeight="false" outlineLevel="0" collapsed="false">
      <c r="A155" s="8"/>
      <c r="B155" s="8"/>
      <c r="C155" s="8"/>
      <c r="D155" s="8"/>
      <c r="E155" s="8"/>
      <c r="F155" s="8"/>
      <c r="G155" s="8"/>
      <c r="H155" s="8"/>
    </row>
    <row r="156" customFormat="false" ht="15" hidden="false" customHeight="false" outlineLevel="0" collapsed="false">
      <c r="A156" s="7"/>
      <c r="B156" s="7"/>
      <c r="C156" s="7"/>
      <c r="D156" s="7"/>
      <c r="E156" s="7"/>
      <c r="F156" s="7"/>
      <c r="G156" s="7"/>
      <c r="H156" s="7"/>
    </row>
    <row r="157" customFormat="false" ht="15" hidden="false" customHeight="false" outlineLevel="0" collapsed="false">
      <c r="A157" s="8"/>
      <c r="B157" s="8"/>
      <c r="C157" s="8"/>
      <c r="D157" s="8"/>
      <c r="E157" s="8"/>
      <c r="F157" s="8"/>
      <c r="G157" s="8"/>
      <c r="H157" s="8"/>
    </row>
    <row r="158" customFormat="false" ht="15" hidden="false" customHeight="false" outlineLevel="0" collapsed="false">
      <c r="A158" s="7"/>
      <c r="B158" s="7"/>
      <c r="C158" s="7"/>
      <c r="D158" s="7"/>
      <c r="E158" s="7"/>
      <c r="F158" s="7"/>
      <c r="G158" s="7"/>
      <c r="H158" s="7"/>
    </row>
    <row r="159" customFormat="false" ht="15" hidden="false" customHeight="false" outlineLevel="0" collapsed="false">
      <c r="A159" s="8"/>
      <c r="B159" s="8"/>
      <c r="C159" s="8"/>
      <c r="D159" s="8"/>
      <c r="E159" s="8"/>
      <c r="F159" s="8"/>
      <c r="G159" s="8"/>
      <c r="H159" s="8"/>
    </row>
    <row r="160" customFormat="false" ht="15" hidden="false" customHeight="false" outlineLevel="0" collapsed="false">
      <c r="A160" s="7"/>
      <c r="B160" s="7"/>
      <c r="C160" s="7"/>
      <c r="D160" s="7"/>
      <c r="E160" s="7"/>
      <c r="F160" s="7"/>
      <c r="G160" s="7"/>
      <c r="H160" s="7"/>
    </row>
    <row r="161" customFormat="false" ht="15" hidden="false" customHeight="false" outlineLevel="0" collapsed="false">
      <c r="A161" s="8"/>
      <c r="B161" s="8"/>
      <c r="C161" s="8"/>
      <c r="D161" s="8"/>
      <c r="E161" s="8"/>
      <c r="F161" s="8"/>
      <c r="G161" s="8"/>
      <c r="H161" s="8"/>
    </row>
    <row r="162" customFormat="false" ht="15" hidden="false" customHeight="false" outlineLevel="0" collapsed="false">
      <c r="A162" s="7"/>
      <c r="B162" s="7"/>
      <c r="C162" s="7"/>
      <c r="D162" s="7"/>
      <c r="E162" s="7"/>
      <c r="F162" s="7"/>
      <c r="G162" s="7"/>
      <c r="H162" s="7"/>
    </row>
    <row r="163" customFormat="false" ht="15" hidden="false" customHeight="false" outlineLevel="0" collapsed="false">
      <c r="A163" s="8"/>
      <c r="B163" s="8"/>
      <c r="C163" s="8"/>
      <c r="D163" s="8"/>
      <c r="E163" s="8"/>
      <c r="F163" s="8"/>
      <c r="G163" s="8"/>
      <c r="H163" s="8"/>
    </row>
    <row r="164" customFormat="false" ht="15" hidden="false" customHeight="false" outlineLevel="0" collapsed="false">
      <c r="A164" s="7"/>
      <c r="B164" s="7"/>
      <c r="C164" s="7"/>
      <c r="D164" s="7"/>
      <c r="E164" s="7"/>
      <c r="F164" s="7"/>
      <c r="G164" s="7"/>
      <c r="H164" s="7"/>
    </row>
    <row r="165" customFormat="false" ht="15" hidden="false" customHeight="false" outlineLevel="0" collapsed="false">
      <c r="A165" s="8"/>
      <c r="B165" s="8"/>
      <c r="C165" s="8"/>
      <c r="D165" s="8"/>
      <c r="E165" s="8"/>
      <c r="F165" s="8"/>
      <c r="G165" s="8"/>
      <c r="H165" s="8"/>
    </row>
    <row r="166" customFormat="false" ht="15" hidden="false" customHeight="false" outlineLevel="0" collapsed="false">
      <c r="A166" s="7"/>
      <c r="B166" s="7"/>
      <c r="C166" s="7"/>
      <c r="D166" s="7"/>
      <c r="E166" s="7"/>
      <c r="F166" s="7"/>
      <c r="G166" s="7"/>
      <c r="H166" s="7"/>
    </row>
    <row r="167" customFormat="false" ht="15" hidden="false" customHeight="false" outlineLevel="0" collapsed="false">
      <c r="A167" s="8"/>
      <c r="B167" s="8"/>
      <c r="C167" s="8"/>
      <c r="D167" s="8"/>
      <c r="E167" s="8"/>
      <c r="F167" s="8"/>
      <c r="G167" s="8"/>
      <c r="H167" s="8"/>
    </row>
    <row r="168" customFormat="false" ht="15" hidden="false" customHeight="false" outlineLevel="0" collapsed="false">
      <c r="A168" s="7"/>
      <c r="B168" s="7"/>
      <c r="C168" s="7"/>
      <c r="D168" s="7"/>
      <c r="E168" s="7"/>
      <c r="F168" s="7"/>
      <c r="G168" s="7"/>
      <c r="H168" s="7"/>
    </row>
    <row r="169" customFormat="false" ht="15" hidden="false" customHeight="false" outlineLevel="0" collapsed="false">
      <c r="A169" s="8"/>
      <c r="B169" s="8"/>
      <c r="C169" s="8"/>
      <c r="D169" s="8"/>
      <c r="E169" s="8"/>
      <c r="F169" s="8"/>
      <c r="G169" s="8"/>
      <c r="H169" s="8"/>
    </row>
    <row r="170" customFormat="false" ht="15" hidden="false" customHeight="false" outlineLevel="0" collapsed="false">
      <c r="A170" s="7"/>
      <c r="B170" s="7"/>
      <c r="C170" s="7"/>
      <c r="D170" s="7"/>
      <c r="E170" s="7"/>
      <c r="F170" s="7"/>
      <c r="G170" s="7"/>
      <c r="H170" s="7"/>
    </row>
    <row r="171" customFormat="false" ht="15" hidden="false" customHeight="false" outlineLevel="0" collapsed="false">
      <c r="A171" s="8"/>
      <c r="B171" s="8"/>
      <c r="C171" s="8"/>
      <c r="D171" s="8"/>
      <c r="E171" s="8"/>
      <c r="F171" s="8"/>
      <c r="G171" s="8"/>
      <c r="H171" s="8"/>
    </row>
    <row r="172" customFormat="false" ht="15" hidden="false" customHeight="false" outlineLevel="0" collapsed="false">
      <c r="A172" s="7"/>
      <c r="B172" s="7"/>
      <c r="C172" s="7"/>
      <c r="D172" s="7"/>
      <c r="E172" s="7"/>
      <c r="F172" s="7"/>
      <c r="G172" s="7"/>
      <c r="H172" s="7"/>
    </row>
    <row r="173" customFormat="false" ht="15" hidden="false" customHeight="false" outlineLevel="0" collapsed="false">
      <c r="A173" s="8"/>
      <c r="B173" s="8"/>
      <c r="C173" s="8"/>
      <c r="D173" s="8"/>
      <c r="E173" s="8"/>
      <c r="F173" s="8"/>
      <c r="G173" s="8"/>
      <c r="H173" s="8"/>
    </row>
    <row r="174" customFormat="false" ht="15" hidden="false" customHeight="false" outlineLevel="0" collapsed="false">
      <c r="A174" s="7"/>
      <c r="B174" s="7"/>
      <c r="C174" s="7"/>
      <c r="D174" s="7"/>
      <c r="E174" s="7"/>
      <c r="F174" s="7"/>
      <c r="G174" s="7"/>
      <c r="H174" s="7"/>
    </row>
    <row r="175" customFormat="false" ht="15" hidden="false" customHeight="false" outlineLevel="0" collapsed="false">
      <c r="A175" s="8"/>
      <c r="B175" s="8"/>
      <c r="C175" s="8"/>
      <c r="D175" s="8"/>
      <c r="E175" s="8"/>
      <c r="F175" s="8"/>
      <c r="G175" s="8"/>
      <c r="H175" s="8"/>
    </row>
    <row r="176" customFormat="false" ht="15" hidden="false" customHeight="false" outlineLevel="0" collapsed="false">
      <c r="A176" s="7"/>
      <c r="B176" s="7"/>
      <c r="C176" s="7"/>
      <c r="D176" s="7"/>
      <c r="E176" s="7"/>
      <c r="F176" s="7"/>
      <c r="G176" s="7"/>
      <c r="H176" s="7"/>
    </row>
    <row r="177" customFormat="false" ht="15" hidden="false" customHeight="false" outlineLevel="0" collapsed="false">
      <c r="A177" s="8"/>
      <c r="B177" s="8"/>
      <c r="C177" s="8"/>
      <c r="D177" s="8"/>
      <c r="E177" s="8"/>
      <c r="F177" s="8"/>
      <c r="G177" s="8"/>
      <c r="H177" s="8"/>
    </row>
    <row r="178" customFormat="false" ht="15" hidden="false" customHeight="false" outlineLevel="0" collapsed="false">
      <c r="A178" s="7"/>
      <c r="B178" s="7"/>
      <c r="C178" s="7"/>
      <c r="D178" s="7"/>
      <c r="E178" s="7"/>
      <c r="F178" s="7"/>
      <c r="G178" s="7"/>
      <c r="H178" s="7"/>
    </row>
    <row r="179" customFormat="false" ht="15" hidden="false" customHeight="false" outlineLevel="0" collapsed="false">
      <c r="A179" s="8"/>
      <c r="B179" s="8"/>
      <c r="C179" s="8"/>
      <c r="D179" s="8"/>
      <c r="E179" s="8"/>
      <c r="F179" s="8"/>
      <c r="G179" s="8"/>
      <c r="H179" s="8"/>
    </row>
    <row r="180" customFormat="false" ht="15" hidden="false" customHeight="false" outlineLevel="0" collapsed="false">
      <c r="A180" s="7"/>
      <c r="B180" s="7"/>
      <c r="C180" s="7"/>
      <c r="D180" s="7"/>
      <c r="E180" s="7"/>
      <c r="F180" s="7"/>
      <c r="G180" s="7"/>
      <c r="H180" s="7"/>
    </row>
    <row r="181" customFormat="false" ht="15" hidden="false" customHeight="false" outlineLevel="0" collapsed="false">
      <c r="A181" s="8"/>
      <c r="B181" s="8"/>
      <c r="C181" s="8"/>
      <c r="D181" s="8"/>
      <c r="E181" s="8"/>
      <c r="F181" s="8"/>
      <c r="G181" s="8"/>
      <c r="H181" s="8"/>
    </row>
    <row r="182" customFormat="false" ht="15" hidden="false" customHeight="false" outlineLevel="0" collapsed="false">
      <c r="A182" s="7"/>
      <c r="B182" s="7"/>
      <c r="C182" s="7"/>
      <c r="D182" s="7"/>
      <c r="E182" s="7"/>
      <c r="F182" s="7"/>
      <c r="G182" s="7"/>
      <c r="H182" s="7"/>
    </row>
    <row r="183" customFormat="false" ht="15" hidden="false" customHeight="false" outlineLevel="0" collapsed="false">
      <c r="A183" s="8"/>
      <c r="B183" s="8"/>
      <c r="C183" s="8"/>
      <c r="D183" s="8"/>
      <c r="E183" s="8"/>
      <c r="F183" s="8"/>
      <c r="G183" s="8"/>
      <c r="H183" s="8"/>
    </row>
    <row r="184" customFormat="false" ht="15" hidden="false" customHeight="false" outlineLevel="0" collapsed="false">
      <c r="A184" s="7"/>
      <c r="B184" s="7"/>
      <c r="C184" s="7"/>
      <c r="D184" s="7"/>
      <c r="E184" s="7"/>
      <c r="F184" s="7"/>
      <c r="G184" s="7"/>
      <c r="H184" s="7"/>
    </row>
    <row r="185" customFormat="false" ht="15" hidden="false" customHeight="false" outlineLevel="0" collapsed="false">
      <c r="A185" s="8"/>
      <c r="B185" s="8"/>
      <c r="C185" s="8"/>
      <c r="D185" s="8"/>
      <c r="E185" s="8"/>
      <c r="F185" s="8"/>
      <c r="G185" s="8"/>
      <c r="H185" s="8"/>
    </row>
    <row r="186" customFormat="false" ht="15" hidden="false" customHeight="false" outlineLevel="0" collapsed="false">
      <c r="A186" s="7"/>
      <c r="B186" s="7"/>
      <c r="C186" s="7"/>
      <c r="D186" s="7"/>
      <c r="E186" s="7"/>
      <c r="F186" s="7"/>
      <c r="G186" s="7"/>
      <c r="H186" s="7"/>
    </row>
    <row r="187" customFormat="false" ht="15" hidden="false" customHeight="false" outlineLevel="0" collapsed="false">
      <c r="A187" s="8"/>
      <c r="B187" s="8"/>
      <c r="C187" s="8"/>
      <c r="D187" s="8"/>
      <c r="E187" s="8"/>
      <c r="F187" s="8"/>
      <c r="G187" s="8"/>
      <c r="H187" s="8"/>
    </row>
    <row r="188" customFormat="false" ht="15" hidden="false" customHeight="false" outlineLevel="0" collapsed="false">
      <c r="A188" s="7"/>
      <c r="B188" s="7"/>
      <c r="C188" s="7"/>
      <c r="D188" s="7"/>
      <c r="E188" s="7"/>
      <c r="F188" s="7"/>
      <c r="G188" s="7"/>
      <c r="H188" s="7"/>
    </row>
    <row r="189" customFormat="false" ht="15" hidden="false" customHeight="false" outlineLevel="0" collapsed="false">
      <c r="A189" s="8"/>
      <c r="B189" s="8"/>
      <c r="C189" s="8"/>
      <c r="D189" s="8"/>
      <c r="E189" s="8"/>
      <c r="F189" s="8"/>
      <c r="G189" s="8"/>
      <c r="H189" s="8"/>
    </row>
    <row r="190" customFormat="false" ht="15" hidden="false" customHeight="false" outlineLevel="0" collapsed="false">
      <c r="A190" s="7"/>
      <c r="B190" s="7"/>
      <c r="C190" s="7"/>
      <c r="D190" s="7"/>
      <c r="E190" s="7"/>
      <c r="F190" s="7"/>
      <c r="G190" s="7"/>
      <c r="H190" s="7"/>
    </row>
    <row r="191" customFormat="false" ht="15" hidden="false" customHeight="false" outlineLevel="0" collapsed="false">
      <c r="A191" s="8"/>
      <c r="B191" s="8"/>
      <c r="C191" s="8"/>
      <c r="D191" s="8"/>
      <c r="E191" s="8"/>
      <c r="F191" s="8"/>
      <c r="G191" s="8"/>
      <c r="H191" s="8"/>
    </row>
    <row r="192" customFormat="false" ht="15" hidden="false" customHeight="false" outlineLevel="0" collapsed="false">
      <c r="A192" s="7"/>
      <c r="B192" s="7"/>
      <c r="C192" s="7"/>
      <c r="D192" s="7"/>
      <c r="E192" s="7"/>
      <c r="F192" s="7"/>
      <c r="G192" s="7"/>
      <c r="H192" s="7"/>
    </row>
    <row r="193" customFormat="false" ht="15" hidden="false" customHeight="false" outlineLevel="0" collapsed="false">
      <c r="A193" s="8"/>
      <c r="B193" s="8"/>
      <c r="C193" s="8"/>
      <c r="D193" s="8"/>
      <c r="E193" s="8"/>
      <c r="F193" s="8"/>
      <c r="G193" s="8"/>
      <c r="H193" s="8"/>
    </row>
    <row r="194" customFormat="false" ht="15" hidden="false" customHeight="false" outlineLevel="0" collapsed="false">
      <c r="A194" s="7"/>
      <c r="B194" s="7"/>
      <c r="C194" s="7"/>
      <c r="D194" s="7"/>
      <c r="E194" s="7"/>
      <c r="F194" s="7"/>
      <c r="G194" s="7"/>
      <c r="H194" s="7"/>
    </row>
    <row r="195" customFormat="false" ht="15" hidden="false" customHeight="false" outlineLevel="0" collapsed="false">
      <c r="A195" s="8"/>
      <c r="B195" s="8"/>
      <c r="C195" s="8"/>
      <c r="D195" s="8"/>
      <c r="E195" s="8"/>
      <c r="F195" s="8"/>
      <c r="G195" s="8"/>
      <c r="H195" s="8"/>
    </row>
    <row r="196" customFormat="false" ht="15" hidden="false" customHeight="false" outlineLevel="0" collapsed="false">
      <c r="A196" s="7"/>
      <c r="B196" s="7"/>
      <c r="C196" s="7"/>
      <c r="D196" s="7"/>
      <c r="E196" s="7"/>
      <c r="F196" s="7"/>
      <c r="G196" s="7"/>
      <c r="H196" s="7"/>
    </row>
    <row r="197" customFormat="false" ht="15" hidden="false" customHeight="false" outlineLevel="0" collapsed="false">
      <c r="A197" s="8"/>
      <c r="B197" s="8"/>
      <c r="C197" s="8"/>
      <c r="D197" s="8"/>
      <c r="E197" s="8"/>
      <c r="F197" s="8"/>
      <c r="G197" s="8"/>
      <c r="H197" s="8"/>
    </row>
    <row r="198" customFormat="false" ht="15" hidden="false" customHeight="false" outlineLevel="0" collapsed="false">
      <c r="A198" s="7"/>
      <c r="B198" s="7"/>
      <c r="C198" s="7"/>
      <c r="D198" s="7"/>
      <c r="E198" s="7"/>
      <c r="F198" s="7"/>
      <c r="G198" s="7"/>
      <c r="H198" s="7"/>
    </row>
    <row r="199" customFormat="false" ht="15" hidden="false" customHeight="false" outlineLevel="0" collapsed="false">
      <c r="A199" s="8"/>
      <c r="B199" s="8"/>
      <c r="C199" s="8"/>
      <c r="D199" s="8"/>
      <c r="E199" s="8"/>
      <c r="F199" s="8"/>
      <c r="G199" s="8"/>
      <c r="H199" s="8"/>
    </row>
    <row r="200" customFormat="false" ht="15" hidden="false" customHeight="false" outlineLevel="0" collapsed="false">
      <c r="A200" s="7"/>
      <c r="B200" s="7"/>
      <c r="C200" s="7"/>
      <c r="D200" s="7"/>
      <c r="E200" s="7"/>
      <c r="F200" s="7"/>
      <c r="G200" s="7"/>
      <c r="H200" s="7"/>
    </row>
    <row r="201" customFormat="false" ht="15" hidden="false" customHeight="false" outlineLevel="0" collapsed="false">
      <c r="A201" s="8"/>
      <c r="B201" s="8"/>
      <c r="C201" s="8"/>
      <c r="D201" s="8"/>
      <c r="E201" s="8"/>
      <c r="F201" s="8"/>
      <c r="G201" s="8"/>
      <c r="H201" s="8"/>
    </row>
    <row r="202" customFormat="false" ht="15" hidden="false" customHeight="false" outlineLevel="0" collapsed="false">
      <c r="A202" s="7"/>
      <c r="B202" s="7"/>
      <c r="C202" s="7"/>
      <c r="D202" s="7"/>
      <c r="E202" s="7"/>
      <c r="F202" s="7"/>
      <c r="G202" s="7"/>
      <c r="H202" s="7"/>
    </row>
    <row r="203" customFormat="false" ht="15" hidden="false" customHeight="false" outlineLevel="0" collapsed="false">
      <c r="A203" s="8"/>
      <c r="B203" s="8"/>
      <c r="C203" s="8"/>
      <c r="D203" s="8"/>
      <c r="E203" s="8"/>
      <c r="F203" s="8"/>
      <c r="G203" s="8"/>
      <c r="H203" s="8"/>
    </row>
    <row r="204" customFormat="false" ht="15" hidden="false" customHeight="false" outlineLevel="0" collapsed="false">
      <c r="A204" s="7"/>
      <c r="B204" s="7"/>
      <c r="C204" s="7"/>
      <c r="D204" s="7"/>
      <c r="E204" s="7"/>
      <c r="F204" s="7"/>
      <c r="G204" s="7"/>
      <c r="H204" s="7"/>
    </row>
    <row r="205" customFormat="false" ht="15" hidden="false" customHeight="false" outlineLevel="0" collapsed="false">
      <c r="A205" s="8"/>
      <c r="B205" s="8"/>
      <c r="C205" s="8"/>
      <c r="D205" s="8"/>
      <c r="E205" s="8"/>
      <c r="F205" s="8"/>
      <c r="G205" s="8"/>
      <c r="H205" s="8"/>
    </row>
    <row r="206" customFormat="false" ht="15" hidden="false" customHeight="false" outlineLevel="0" collapsed="false">
      <c r="A206" s="7"/>
      <c r="B206" s="7"/>
      <c r="C206" s="7"/>
      <c r="D206" s="7"/>
      <c r="E206" s="7"/>
      <c r="F206" s="7"/>
      <c r="G206" s="7"/>
      <c r="H206" s="7"/>
    </row>
    <row r="207" customFormat="false" ht="15" hidden="false" customHeight="false" outlineLevel="0" collapsed="false">
      <c r="A207" s="8"/>
      <c r="B207" s="8"/>
      <c r="C207" s="8"/>
      <c r="D207" s="8"/>
      <c r="E207" s="8"/>
      <c r="F207" s="8"/>
      <c r="G207" s="8"/>
      <c r="H207" s="8"/>
    </row>
    <row r="208" customFormat="false" ht="15" hidden="false" customHeight="false" outlineLevel="0" collapsed="false">
      <c r="A208" s="7"/>
      <c r="B208" s="7"/>
      <c r="C208" s="7"/>
      <c r="D208" s="7"/>
      <c r="E208" s="7"/>
      <c r="F208" s="7"/>
      <c r="G208" s="7"/>
      <c r="H208" s="7"/>
    </row>
    <row r="209" customFormat="false" ht="15" hidden="false" customHeight="false" outlineLevel="0" collapsed="false">
      <c r="A209" s="8"/>
      <c r="B209" s="8"/>
      <c r="C209" s="8"/>
      <c r="D209" s="8"/>
      <c r="E209" s="8"/>
      <c r="F209" s="8"/>
      <c r="G209" s="8"/>
      <c r="H209" s="8"/>
    </row>
    <row r="210" customFormat="false" ht="15" hidden="false" customHeight="false" outlineLevel="0" collapsed="false">
      <c r="A210" s="7"/>
      <c r="B210" s="7"/>
      <c r="C210" s="7"/>
      <c r="D210" s="7"/>
      <c r="E210" s="7"/>
      <c r="F210" s="7"/>
      <c r="G210" s="7"/>
      <c r="H210" s="7"/>
    </row>
    <row r="211" customFormat="false" ht="15" hidden="false" customHeight="false" outlineLevel="0" collapsed="false">
      <c r="A211" s="8"/>
      <c r="B211" s="8"/>
      <c r="C211" s="8"/>
      <c r="D211" s="8"/>
      <c r="E211" s="8"/>
      <c r="F211" s="8"/>
      <c r="G211" s="8"/>
      <c r="H211" s="8"/>
    </row>
    <row r="212" customFormat="false" ht="15" hidden="false" customHeight="false" outlineLevel="0" collapsed="false">
      <c r="A212" s="7"/>
      <c r="B212" s="7"/>
      <c r="C212" s="7"/>
      <c r="D212" s="7"/>
      <c r="E212" s="7"/>
      <c r="F212" s="7"/>
      <c r="G212" s="7"/>
      <c r="H212" s="7"/>
    </row>
    <row r="213" customFormat="false" ht="15" hidden="false" customHeight="false" outlineLevel="0" collapsed="false">
      <c r="A213" s="8"/>
      <c r="B213" s="8"/>
      <c r="C213" s="8"/>
      <c r="D213" s="8"/>
      <c r="E213" s="8"/>
      <c r="F213" s="8"/>
      <c r="G213" s="8"/>
      <c r="H213" s="8"/>
    </row>
    <row r="214" customFormat="false" ht="15" hidden="false" customHeight="false" outlineLevel="0" collapsed="false">
      <c r="A214" s="7"/>
      <c r="B214" s="7"/>
      <c r="C214" s="7"/>
      <c r="D214" s="7"/>
      <c r="E214" s="7"/>
      <c r="F214" s="7"/>
      <c r="G214" s="7"/>
      <c r="H214" s="7"/>
    </row>
    <row r="215" customFormat="false" ht="15" hidden="false" customHeight="false" outlineLevel="0" collapsed="false">
      <c r="A215" s="8"/>
      <c r="B215" s="8"/>
      <c r="C215" s="8"/>
      <c r="D215" s="8"/>
      <c r="E215" s="8"/>
      <c r="F215" s="8"/>
      <c r="G215" s="8"/>
      <c r="H215" s="8"/>
    </row>
    <row r="216" customFormat="false" ht="15" hidden="false" customHeight="false" outlineLevel="0" collapsed="false">
      <c r="A216" s="7"/>
      <c r="B216" s="7"/>
      <c r="C216" s="7"/>
      <c r="D216" s="7"/>
      <c r="E216" s="7"/>
      <c r="F216" s="7"/>
      <c r="G216" s="7"/>
      <c r="H216" s="7"/>
    </row>
    <row r="217" customFormat="false" ht="15" hidden="false" customHeight="false" outlineLevel="0" collapsed="false">
      <c r="A217" s="8"/>
      <c r="B217" s="8"/>
      <c r="C217" s="8"/>
      <c r="D217" s="8"/>
      <c r="E217" s="8"/>
      <c r="F217" s="8"/>
      <c r="G217" s="8"/>
      <c r="H217" s="8"/>
    </row>
    <row r="218" customFormat="false" ht="15" hidden="false" customHeight="false" outlineLevel="0" collapsed="false">
      <c r="A218" s="7"/>
      <c r="B218" s="7"/>
      <c r="C218" s="7"/>
      <c r="D218" s="7"/>
      <c r="E218" s="7"/>
      <c r="F218" s="7"/>
      <c r="G218" s="7"/>
      <c r="H218" s="7"/>
    </row>
    <row r="219" customFormat="false" ht="15" hidden="false" customHeight="false" outlineLevel="0" collapsed="false">
      <c r="A219" s="8"/>
      <c r="B219" s="8"/>
      <c r="C219" s="8"/>
      <c r="D219" s="8"/>
      <c r="E219" s="8"/>
      <c r="F219" s="8"/>
      <c r="G219" s="8"/>
      <c r="H219" s="8"/>
    </row>
    <row r="220" customFormat="false" ht="15" hidden="false" customHeight="false" outlineLevel="0" collapsed="false">
      <c r="A220" s="7"/>
      <c r="B220" s="7"/>
      <c r="C220" s="7"/>
      <c r="D220" s="7"/>
      <c r="E220" s="7"/>
      <c r="F220" s="7"/>
      <c r="G220" s="7"/>
      <c r="H220" s="7"/>
    </row>
    <row r="221" customFormat="false" ht="15" hidden="false" customHeight="false" outlineLevel="0" collapsed="false">
      <c r="A221" s="8"/>
      <c r="B221" s="8"/>
      <c r="C221" s="8"/>
      <c r="D221" s="8"/>
      <c r="E221" s="8"/>
      <c r="F221" s="8"/>
      <c r="G221" s="8"/>
      <c r="H221" s="8"/>
    </row>
    <row r="222" customFormat="false" ht="15" hidden="false" customHeight="false" outlineLevel="0" collapsed="false">
      <c r="A222" s="7"/>
      <c r="B222" s="7"/>
      <c r="C222" s="7"/>
      <c r="D222" s="7"/>
      <c r="E222" s="7"/>
      <c r="F222" s="7"/>
      <c r="G222" s="7"/>
      <c r="H222" s="7"/>
    </row>
    <row r="223" customFormat="false" ht="15" hidden="false" customHeight="false" outlineLevel="0" collapsed="false">
      <c r="A223" s="8"/>
      <c r="B223" s="8"/>
      <c r="C223" s="8"/>
      <c r="D223" s="8"/>
      <c r="E223" s="8"/>
      <c r="F223" s="8"/>
      <c r="G223" s="8"/>
      <c r="H223" s="8"/>
    </row>
    <row r="224" customFormat="false" ht="15" hidden="false" customHeight="false" outlineLevel="0" collapsed="false">
      <c r="A224" s="7"/>
      <c r="B224" s="7"/>
      <c r="C224" s="7"/>
      <c r="D224" s="7"/>
      <c r="E224" s="7"/>
      <c r="F224" s="7"/>
      <c r="G224" s="7"/>
      <c r="H224" s="7"/>
    </row>
    <row r="225" customFormat="false" ht="15" hidden="false" customHeight="false" outlineLevel="0" collapsed="false">
      <c r="A225" s="8"/>
      <c r="B225" s="8"/>
      <c r="C225" s="8"/>
      <c r="D225" s="8"/>
      <c r="E225" s="8"/>
      <c r="F225" s="8"/>
      <c r="G225" s="8"/>
      <c r="H225" s="8"/>
    </row>
    <row r="226" customFormat="false" ht="15" hidden="false" customHeight="false" outlineLevel="0" collapsed="false">
      <c r="A226" s="7"/>
      <c r="B226" s="7"/>
      <c r="C226" s="7"/>
      <c r="D226" s="7"/>
      <c r="E226" s="7"/>
      <c r="F226" s="7"/>
      <c r="G226" s="7"/>
      <c r="H226" s="7"/>
    </row>
    <row r="227" customFormat="false" ht="15" hidden="false" customHeight="false" outlineLevel="0" collapsed="false">
      <c r="A227" s="8"/>
      <c r="B227" s="8"/>
      <c r="C227" s="8"/>
      <c r="D227" s="8"/>
      <c r="E227" s="8"/>
      <c r="F227" s="8"/>
      <c r="G227" s="8"/>
      <c r="H227" s="8"/>
    </row>
    <row r="228" customFormat="false" ht="15" hidden="false" customHeight="false" outlineLevel="0" collapsed="false">
      <c r="A228" s="7"/>
      <c r="B228" s="7"/>
      <c r="C228" s="7"/>
      <c r="D228" s="7"/>
      <c r="E228" s="7"/>
      <c r="F228" s="7"/>
      <c r="G228" s="7"/>
      <c r="H228" s="7"/>
    </row>
    <row r="229" customFormat="false" ht="15" hidden="false" customHeight="false" outlineLevel="0" collapsed="false">
      <c r="A229" s="8"/>
      <c r="B229" s="8"/>
      <c r="C229" s="8"/>
      <c r="D229" s="8"/>
      <c r="E229" s="8"/>
      <c r="F229" s="8"/>
      <c r="G229" s="8"/>
      <c r="H229" s="8"/>
    </row>
    <row r="230" customFormat="false" ht="15" hidden="false" customHeight="false" outlineLevel="0" collapsed="false">
      <c r="A230" s="7"/>
      <c r="B230" s="7"/>
      <c r="C230" s="7"/>
      <c r="D230" s="7"/>
      <c r="E230" s="7"/>
      <c r="F230" s="7"/>
      <c r="G230" s="7"/>
      <c r="H230" s="7"/>
    </row>
    <row r="231" customFormat="false" ht="15" hidden="false" customHeight="false" outlineLevel="0" collapsed="false">
      <c r="A231" s="8"/>
      <c r="B231" s="8"/>
      <c r="C231" s="8"/>
      <c r="D231" s="8"/>
      <c r="E231" s="8"/>
      <c r="F231" s="8"/>
      <c r="G231" s="8"/>
      <c r="H231" s="8"/>
    </row>
    <row r="232" customFormat="false" ht="15" hidden="false" customHeight="false" outlineLevel="0" collapsed="false">
      <c r="A232" s="7"/>
      <c r="B232" s="7"/>
      <c r="C232" s="7"/>
      <c r="D232" s="7"/>
      <c r="E232" s="7"/>
      <c r="F232" s="7"/>
      <c r="G232" s="7"/>
      <c r="H232" s="7"/>
    </row>
    <row r="233" customFormat="false" ht="15" hidden="false" customHeight="false" outlineLevel="0" collapsed="false">
      <c r="A233" s="8"/>
      <c r="B233" s="8"/>
      <c r="C233" s="8"/>
      <c r="D233" s="8"/>
      <c r="E233" s="8"/>
      <c r="F233" s="8"/>
      <c r="G233" s="8"/>
      <c r="H233" s="8"/>
    </row>
    <row r="234" customFormat="false" ht="15" hidden="false" customHeight="false" outlineLevel="0" collapsed="false">
      <c r="A234" s="7"/>
      <c r="B234" s="7"/>
      <c r="C234" s="7"/>
      <c r="D234" s="7"/>
      <c r="E234" s="7"/>
      <c r="F234" s="7"/>
      <c r="G234" s="7"/>
      <c r="H234" s="7"/>
    </row>
    <row r="235" customFormat="false" ht="15" hidden="false" customHeight="false" outlineLevel="0" collapsed="false">
      <c r="A235" s="8"/>
      <c r="B235" s="8"/>
      <c r="C235" s="8"/>
      <c r="D235" s="8"/>
      <c r="E235" s="8"/>
      <c r="F235" s="8"/>
      <c r="G235" s="8"/>
      <c r="H235" s="8"/>
    </row>
    <row r="236" customFormat="false" ht="15" hidden="false" customHeight="false" outlineLevel="0" collapsed="false">
      <c r="A236" s="7"/>
      <c r="B236" s="7"/>
      <c r="C236" s="7"/>
      <c r="D236" s="7"/>
      <c r="E236" s="7"/>
      <c r="F236" s="7"/>
      <c r="G236" s="7"/>
      <c r="H236" s="7"/>
    </row>
    <row r="237" customFormat="false" ht="15" hidden="false" customHeight="false" outlineLevel="0" collapsed="false">
      <c r="A237" s="8"/>
      <c r="B237" s="8"/>
      <c r="C237" s="8"/>
      <c r="D237" s="8"/>
      <c r="E237" s="8"/>
      <c r="F237" s="8"/>
      <c r="G237" s="8"/>
      <c r="H237" s="8"/>
    </row>
    <row r="238" customFormat="false" ht="15" hidden="false" customHeight="false" outlineLevel="0" collapsed="false">
      <c r="A238" s="7"/>
      <c r="B238" s="7"/>
      <c r="C238" s="7"/>
      <c r="D238" s="7"/>
      <c r="E238" s="7"/>
      <c r="F238" s="7"/>
      <c r="G238" s="7"/>
      <c r="H238" s="7"/>
    </row>
    <row r="239" customFormat="false" ht="15" hidden="false" customHeight="false" outlineLevel="0" collapsed="false">
      <c r="A239" s="8"/>
      <c r="B239" s="8"/>
      <c r="C239" s="8"/>
      <c r="D239" s="8"/>
      <c r="E239" s="8"/>
      <c r="F239" s="8"/>
      <c r="G239" s="8"/>
      <c r="H239" s="8"/>
    </row>
    <row r="240" customFormat="false" ht="15" hidden="false" customHeight="false" outlineLevel="0" collapsed="false">
      <c r="A240" s="7"/>
      <c r="B240" s="7"/>
      <c r="C240" s="7"/>
      <c r="D240" s="7"/>
      <c r="E240" s="7"/>
      <c r="F240" s="7"/>
      <c r="G240" s="7"/>
      <c r="H240" s="7"/>
    </row>
    <row r="241" customFormat="false" ht="15" hidden="false" customHeight="false" outlineLevel="0" collapsed="false">
      <c r="A241" s="8"/>
      <c r="B241" s="8"/>
      <c r="C241" s="8"/>
      <c r="D241" s="8"/>
      <c r="E241" s="8"/>
      <c r="F241" s="8"/>
      <c r="G241" s="8"/>
      <c r="H241" s="8"/>
    </row>
  </sheetData>
  <autoFilter ref="A1:H241"/>
  <dataValidations count="5">
    <dataValidation allowBlank="true" error="ใช้ค่าตามคำอธิบายใน Readme" errorStyle="stop" errorTitle="ข้อมูลไม่ตรงรูปแบบ" operator="between" showDropDown="false" showErrorMessage="true" showInputMessage="false" sqref="B2:B241" type="list">
      <formula1>"pilot,main"</formula1>
      <formula2>0</formula2>
    </dataValidation>
    <dataValidation allowBlank="true" error="ใช้ค่าตามคำอธิบายใน Readme" errorStyle="stop" errorTitle="ข้อมูลไม่ตรงรูปแบบ" operator="between" showDropDown="false" showErrorMessage="true" showInputMessage="false" sqref="C2:C241" type="list">
      <formula1>"T1,T2,T3,T4"</formula1>
      <formula2>0</formula2>
    </dataValidation>
    <dataValidation allowBlank="true" error="ใช้ค่าตามคำอธิบายใน Readme" errorStyle="stop" errorTitle="ข้อมูลไม่ตรงรูปแบบ" operator="between" showDropDown="false" showErrorMessage="true" showInputMessage="false" sqref="D2:D241" type="list">
      <formula1>"0,1,2,withdrawn,not_run"</formula1>
      <formula2>0</formula2>
    </dataValidation>
    <dataValidation allowBlank="true" error="ใช้ค่าตามคำอธิบายใน Readme" errorStyle="stop" errorTitle="ข้อมูลไม่ตรงรูปแบบ" operator="greaterThanOrEqual" showDropDown="false" showErrorMessage="true" showInputMessage="false" sqref="E2:E241" type="decimal">
      <formula1>0</formula1>
      <formula2>0</formula2>
    </dataValidation>
    <dataValidation allowBlank="true" error="ใช้ค่าตามคำอธิบายใน Readme" errorStyle="stop" errorTitle="ข้อมูลไม่ตรงรูปแบบ" operator="greaterThanOrEqual" showDropDown="false" showErrorMessage="true" showInputMessage="false" sqref="F2:G241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0" min="1" style="0" width="22"/>
    <col collapsed="false" customWidth="true" hidden="false" outlineLevel="0" max="13" min="11" style="0" width="45"/>
    <col collapsed="false" customWidth="true" hidden="false" outlineLevel="0" max="14" min="14" style="0" width="22"/>
  </cols>
  <sheetData>
    <row r="1" customFormat="false" ht="36" hidden="false" customHeight="true" outlineLevel="0" collapsed="false">
      <c r="A1" s="1" t="s">
        <v>34</v>
      </c>
      <c r="B1" s="1" t="s">
        <v>8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</row>
    <row r="2" customFormat="false" ht="15" hidden="false" customHeight="false" outlineLevel="0" collapsed="false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9" t="str">
        <f aca="false">IF(AND(B2="main",COUNT(C2:J2)=8),AVERAGE(C2:J2),"")</f>
        <v/>
      </c>
    </row>
    <row r="3" customFormat="false" ht="15" hidden="false" customHeight="false" outlineLevel="0" collapsed="false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10" t="str">
        <f aca="false">IF(AND(B3="main",COUNT(C3:J3)=8),AVERAGE(C3:J3),"")</f>
        <v/>
      </c>
    </row>
    <row r="4" customFormat="false" ht="15" hidden="false" customHeight="false" outlineLevel="0" collapsed="false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9" t="str">
        <f aca="false">IF(AND(B4="main",COUNT(C4:J4)=8),AVERAGE(C4:J4),"")</f>
        <v/>
      </c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10" t="str">
        <f aca="false">IF(AND(B5="main",COUNT(C5:J5)=8),AVERAGE(C5:J5),"")</f>
        <v/>
      </c>
    </row>
    <row r="6" customFormat="false" ht="15" hidden="false" customHeight="false" outlineLevel="0" collapsed="false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9" t="str">
        <f aca="false">IF(AND(B6="main",COUNT(C6:J6)=8),AVERAGE(C6:J6),"")</f>
        <v/>
      </c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10" t="str">
        <f aca="false">IF(AND(B7="main",COUNT(C7:J7)=8),AVERAGE(C7:J7),"")</f>
        <v/>
      </c>
    </row>
    <row r="8" customFormat="false" ht="15" hidden="false" customHeight="false" outlineLevel="0" collapsed="false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9" t="str">
        <f aca="false">IF(AND(B8="main",COUNT(C8:J8)=8),AVERAGE(C8:J8),"")</f>
        <v/>
      </c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10" t="str">
        <f aca="false">IF(AND(B9="main",COUNT(C9:J9)=8),AVERAGE(C9:J9),"")</f>
        <v/>
      </c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9" t="str">
        <f aca="false">IF(AND(B10="main",COUNT(C10:J10)=8),AVERAGE(C10:J10),"")</f>
        <v/>
      </c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10" t="str">
        <f aca="false">IF(AND(B11="main",COUNT(C11:J11)=8),AVERAGE(C11:J11),"")</f>
        <v/>
      </c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9" t="str">
        <f aca="false">IF(AND(B12="main",COUNT(C12:J12)=8),AVERAGE(C12:J12),"")</f>
        <v/>
      </c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10" t="str">
        <f aca="false">IF(AND(B13="main",COUNT(C13:J13)=8),AVERAGE(C13:J13),"")</f>
        <v/>
      </c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9" t="str">
        <f aca="false">IF(AND(B14="main",COUNT(C14:J14)=8),AVERAGE(C14:J14),"")</f>
        <v/>
      </c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10" t="str">
        <f aca="false">IF(AND(B15="main",COUNT(C15:J15)=8),AVERAGE(C15:J15),"")</f>
        <v/>
      </c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9" t="str">
        <f aca="false">IF(AND(B16="main",COUNT(C16:J16)=8),AVERAGE(C16:J16),"")</f>
        <v/>
      </c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10" t="str">
        <f aca="false">IF(AND(B17="main",COUNT(C17:J17)=8),AVERAGE(C17:J17),"")</f>
        <v/>
      </c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9" t="str">
        <f aca="false">IF(AND(B18="main",COUNT(C18:J18)=8),AVERAGE(C18:J18),"")</f>
        <v/>
      </c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10" t="str">
        <f aca="false">IF(AND(B19="main",COUNT(C19:J19)=8),AVERAGE(C19:J19),"")</f>
        <v/>
      </c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9" t="str">
        <f aca="false">IF(AND(B20="main",COUNT(C20:J20)=8),AVERAGE(C20:J20),"")</f>
        <v/>
      </c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10" t="str">
        <f aca="false">IF(AND(B21="main",COUNT(C21:J21)=8),AVERAGE(C21:J21),"")</f>
        <v/>
      </c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9" t="str">
        <f aca="false">IF(AND(B22="main",COUNT(C22:J22)=8),AVERAGE(C22:J22),"")</f>
        <v/>
      </c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10" t="str">
        <f aca="false">IF(AND(B23="main",COUNT(C23:J23)=8),AVERAGE(C23:J23),"")</f>
        <v/>
      </c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9" t="str">
        <f aca="false">IF(AND(B24="main",COUNT(C24:J24)=8),AVERAGE(C24:J24),"")</f>
        <v/>
      </c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10" t="str">
        <f aca="false">IF(AND(B25="main",COUNT(C25:J25)=8),AVERAGE(C25:J25),"")</f>
        <v/>
      </c>
    </row>
    <row r="26" customFormat="false" ht="15" hidden="false" customHeight="false" outlineLevel="0" collapsed="false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9" t="str">
        <f aca="false">IF(AND(B26="main",COUNT(C26:J26)=8),AVERAGE(C26:J26),"")</f>
        <v/>
      </c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10" t="str">
        <f aca="false">IF(AND(B27="main",COUNT(C27:J27)=8),AVERAGE(C27:J27),"")</f>
        <v/>
      </c>
    </row>
    <row r="28" customFormat="false" ht="15" hidden="false" customHeight="false" outlineLevel="0" collapsed="false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9" t="str">
        <f aca="false">IF(AND(B28="main",COUNT(C28:J28)=8),AVERAGE(C28:J28),"")</f>
        <v/>
      </c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10" t="str">
        <f aca="false">IF(AND(B29="main",COUNT(C29:J29)=8),AVERAGE(C29:J29),"")</f>
        <v/>
      </c>
    </row>
    <row r="30" customFormat="false" ht="15" hidden="false" customHeight="false" outlineLevel="0" collapsed="false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9" t="str">
        <f aca="false">IF(AND(B30="main",COUNT(C30:J30)=8),AVERAGE(C30:J30),"")</f>
        <v/>
      </c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10" t="str">
        <f aca="false">IF(AND(B31="main",COUNT(C31:J31)=8),AVERAGE(C31:J31),"")</f>
        <v/>
      </c>
    </row>
    <row r="32" customFormat="false" ht="15" hidden="false" customHeight="false" outlineLevel="0" collapsed="false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9" t="str">
        <f aca="false">IF(AND(B32="main",COUNT(C32:J32)=8),AVERAGE(C32:J32),"")</f>
        <v/>
      </c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10" t="str">
        <f aca="false">IF(AND(B33="main",COUNT(C33:J33)=8),AVERAGE(C33:J33),"")</f>
        <v/>
      </c>
    </row>
    <row r="34" customFormat="false" ht="15" hidden="false" customHeight="false" outlineLevel="0" collapsed="false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9" t="str">
        <f aca="false">IF(AND(B34="main",COUNT(C34:J34)=8),AVERAGE(C34:J34),"")</f>
        <v/>
      </c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10" t="str">
        <f aca="false">IF(AND(B35="main",COUNT(C35:J35)=8),AVERAGE(C35:J35),"")</f>
        <v/>
      </c>
    </row>
    <row r="36" customFormat="false" ht="15" hidden="false" customHeight="false" outlineLevel="0" collapsed="false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9" t="str">
        <f aca="false">IF(AND(B36="main",COUNT(C36:J36)=8),AVERAGE(C36:J36),"")</f>
        <v/>
      </c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10" t="str">
        <f aca="false">IF(AND(B37="main",COUNT(C37:J37)=8),AVERAGE(C37:J37),"")</f>
        <v/>
      </c>
    </row>
    <row r="38" customFormat="false" ht="15" hidden="false" customHeight="false" outlineLevel="0" collapsed="false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9" t="str">
        <f aca="false">IF(AND(B38="main",COUNT(C38:J38)=8),AVERAGE(C38:J38),"")</f>
        <v/>
      </c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10" t="str">
        <f aca="false">IF(AND(B39="main",COUNT(C39:J39)=8),AVERAGE(C39:J39),"")</f>
        <v/>
      </c>
    </row>
    <row r="40" customFormat="false" ht="15" hidden="false" customHeight="false" outlineLevel="0" collapsed="false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9" t="str">
        <f aca="false">IF(AND(B40="main",COUNT(C40:J40)=8),AVERAGE(C40:J40),"")</f>
        <v/>
      </c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10" t="str">
        <f aca="false">IF(AND(B41="main",COUNT(C41:J41)=8),AVERAGE(C41:J41),"")</f>
        <v/>
      </c>
    </row>
    <row r="42" customFormat="false" ht="15" hidden="false" customHeight="false" outlineLevel="0" collapsed="false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9" t="str">
        <f aca="false">IF(AND(B42="main",COUNT(C42:J42)=8),AVERAGE(C42:J42),"")</f>
        <v/>
      </c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10" t="str">
        <f aca="false">IF(AND(B43="main",COUNT(C43:J43)=8),AVERAGE(C43:J43),"")</f>
        <v/>
      </c>
    </row>
    <row r="44" customFormat="false" ht="15" hidden="false" customHeight="false" outlineLevel="0" collapsed="false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9" t="str">
        <f aca="false">IF(AND(B44="main",COUNT(C44:J44)=8),AVERAGE(C44:J44),"")</f>
        <v/>
      </c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10" t="str">
        <f aca="false">IF(AND(B45="main",COUNT(C45:J45)=8),AVERAGE(C45:J45),"")</f>
        <v/>
      </c>
    </row>
    <row r="46" customFormat="false" ht="15" hidden="false" customHeight="false" outlineLevel="0" collapsed="false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9" t="str">
        <f aca="false">IF(AND(B46="main",COUNT(C46:J46)=8),AVERAGE(C46:J46),"")</f>
        <v/>
      </c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10" t="str">
        <f aca="false">IF(AND(B47="main",COUNT(C47:J47)=8),AVERAGE(C47:J47),"")</f>
        <v/>
      </c>
    </row>
    <row r="48" customFormat="false" ht="15" hidden="false" customHeight="false" outlineLevel="0" collapsed="false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9" t="str">
        <f aca="false">IF(AND(B48="main",COUNT(C48:J48)=8),AVERAGE(C48:J48),"")</f>
        <v/>
      </c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10" t="str">
        <f aca="false">IF(AND(B49="main",COUNT(C49:J49)=8),AVERAGE(C49:J49),"")</f>
        <v/>
      </c>
    </row>
    <row r="50" customFormat="false" ht="15" hidden="false" customHeight="false" outlineLevel="0" collapsed="false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9" t="str">
        <f aca="false">IF(AND(B50="main",COUNT(C50:J50)=8),AVERAGE(C50:J50),"")</f>
        <v/>
      </c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10" t="str">
        <f aca="false">IF(AND(B51="main",COUNT(C51:J51)=8),AVERAGE(C51:J51),"")</f>
        <v/>
      </c>
    </row>
    <row r="52" customFormat="false" ht="15" hidden="false" customHeight="false" outlineLevel="0" collapsed="false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9" t="str">
        <f aca="false">IF(AND(B52="main",COUNT(C52:J52)=8),AVERAGE(C52:J52),"")</f>
        <v/>
      </c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10" t="str">
        <f aca="false">IF(AND(B53="main",COUNT(C53:J53)=8),AVERAGE(C53:J53),"")</f>
        <v/>
      </c>
    </row>
    <row r="54" customFormat="false" ht="15" hidden="false" customHeight="false" outlineLevel="0" collapsed="false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9" t="str">
        <f aca="false">IF(AND(B54="main",COUNT(C54:J54)=8),AVERAGE(C54:J54),"")</f>
        <v/>
      </c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10" t="str">
        <f aca="false">IF(AND(B55="main",COUNT(C55:J55)=8),AVERAGE(C55:J55),"")</f>
        <v/>
      </c>
    </row>
    <row r="56" customFormat="false" ht="15" hidden="false" customHeight="false" outlineLevel="0" collapsed="false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9" t="str">
        <f aca="false">IF(AND(B56="main",COUNT(C56:J56)=8),AVERAGE(C56:J56),"")</f>
        <v/>
      </c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10" t="str">
        <f aca="false">IF(AND(B57="main",COUNT(C57:J57)=8),AVERAGE(C57:J57),"")</f>
        <v/>
      </c>
    </row>
    <row r="58" customFormat="false" ht="15" hidden="false" customHeight="false" outlineLevel="0" collapsed="false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9" t="str">
        <f aca="false">IF(AND(B58="main",COUNT(C58:J58)=8),AVERAGE(C58:J58),"")</f>
        <v/>
      </c>
    </row>
    <row r="59" customFormat="false" ht="15" hidden="false" customHeight="false" outlineLevel="0" collapsed="false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10" t="str">
        <f aca="false">IF(AND(B59="main",COUNT(C59:J59)=8),AVERAGE(C59:J59),"")</f>
        <v/>
      </c>
    </row>
    <row r="60" customFormat="false" ht="15" hidden="false" customHeight="false" outlineLevel="0" collapsed="false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9" t="str">
        <f aca="false">IF(AND(B60="main",COUNT(C60:J60)=8),AVERAGE(C60:J60),"")</f>
        <v/>
      </c>
    </row>
    <row r="61" customFormat="false" ht="15" hidden="false" customHeight="false" outlineLevel="0" collapsed="false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10" t="str">
        <f aca="false">IF(AND(B61="main",COUNT(C61:J61)=8),AVERAGE(C61:J61),"")</f>
        <v/>
      </c>
    </row>
  </sheetData>
  <autoFilter ref="A1:N61"/>
  <dataValidations count="2">
    <dataValidation allowBlank="true" error="ใช้ค่าตามคำอธิบายใน Readme" errorStyle="stop" errorTitle="ข้อมูลไม่ตรงรูปแบบ" operator="between" showDropDown="false" showErrorMessage="true" showInputMessage="false" sqref="B2:B61" type="list">
      <formula1>"pilot,main"</formula1>
      <formula2>0</formula2>
    </dataValidation>
    <dataValidation allowBlank="true" error="ใช้ค่าตามคำอธิบายใน Readme" errorStyle="stop" errorTitle="ข้อมูลไม่ตรงรูปแบบ" operator="between" showDropDown="false" showErrorMessage="true" showInputMessage="false" sqref="C2:J61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1" min="1" style="0" width="22"/>
  </cols>
  <sheetData>
    <row r="1" customFormat="false" ht="36" hidden="false" customHeight="true" outlineLevel="0" collapsed="false">
      <c r="A1" s="1" t="s">
        <v>34</v>
      </c>
      <c r="B1" s="1" t="s">
        <v>8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14</v>
      </c>
      <c r="I1" s="1" t="s">
        <v>65</v>
      </c>
      <c r="J1" s="1" t="s">
        <v>66</v>
      </c>
      <c r="K1" s="1" t="s">
        <v>43</v>
      </c>
    </row>
    <row r="2" customFormat="false" ht="15" hidden="false" customHeight="false" outlineLevel="0" collapsed="false">
      <c r="A2" s="7"/>
      <c r="B2" s="7"/>
      <c r="C2" s="7"/>
      <c r="D2" s="7"/>
      <c r="E2" s="7"/>
      <c r="F2" s="7"/>
      <c r="G2" s="7"/>
      <c r="H2" s="7"/>
      <c r="I2" s="7"/>
      <c r="J2" s="7"/>
      <c r="K2" s="7"/>
    </row>
    <row r="3" customFormat="false" ht="15" hidden="false" customHeight="false" outlineLevel="0" collapsed="false">
      <c r="A3" s="8"/>
      <c r="B3" s="8"/>
      <c r="C3" s="8"/>
      <c r="D3" s="8"/>
      <c r="E3" s="8"/>
      <c r="F3" s="8"/>
      <c r="G3" s="8"/>
      <c r="H3" s="8"/>
      <c r="I3" s="8"/>
      <c r="J3" s="8"/>
      <c r="K3" s="8"/>
    </row>
    <row r="4" customFormat="false" ht="15" hidden="false" customHeight="false" outlineLevel="0" collapsed="false">
      <c r="A4" s="7"/>
      <c r="B4" s="7"/>
      <c r="C4" s="7"/>
      <c r="D4" s="7"/>
      <c r="E4" s="7"/>
      <c r="F4" s="7"/>
      <c r="G4" s="7"/>
      <c r="H4" s="7"/>
      <c r="I4" s="7"/>
      <c r="J4" s="7"/>
      <c r="K4" s="7"/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  <c r="K5" s="8"/>
    </row>
    <row r="6" customFormat="false" ht="15" hidden="false" customHeight="false" outlineLevel="0" collapsed="false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customFormat="false" ht="15" hidden="false" customHeight="false" outlineLevel="0" collapsed="false">
      <c r="A8" s="7"/>
      <c r="B8" s="7"/>
      <c r="C8" s="7"/>
      <c r="D8" s="7"/>
      <c r="E8" s="7"/>
      <c r="F8" s="7"/>
      <c r="G8" s="7"/>
      <c r="H8" s="7"/>
      <c r="I8" s="7"/>
      <c r="J8" s="7"/>
      <c r="K8" s="7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  <c r="J9" s="8"/>
      <c r="K9" s="8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</row>
    <row r="26" customFormat="false" ht="15" hidden="false" customHeight="false" outlineLevel="0" collapsed="false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</row>
    <row r="28" customFormat="false" ht="15" hidden="false" customHeight="false" outlineLevel="0" collapsed="false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</row>
    <row r="30" customFormat="false" ht="15" hidden="false" customHeight="false" outlineLevel="0" collapsed="false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</row>
    <row r="32" customFormat="false" ht="15" hidden="false" customHeight="false" outlineLevel="0" collapsed="false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</row>
    <row r="34" customFormat="false" ht="15" hidden="false" customHeight="false" outlineLevel="0" collapsed="false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</row>
    <row r="36" customFormat="false" ht="15" hidden="false" customHeight="false" outlineLevel="0" collapsed="false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</row>
    <row r="38" customFormat="false" ht="15" hidden="false" customHeight="false" outlineLevel="0" collapsed="false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</row>
    <row r="40" customFormat="false" ht="15" hidden="false" customHeight="false" outlineLevel="0" collapsed="false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</row>
    <row r="42" customFormat="false" ht="15" hidden="false" customHeight="false" outlineLevel="0" collapsed="false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</row>
    <row r="44" customFormat="false" ht="15" hidden="false" customHeight="false" outlineLevel="0" collapsed="false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</row>
    <row r="46" customFormat="false" ht="15" hidden="false" customHeight="false" outlineLevel="0" collapsed="false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</row>
    <row r="48" customFormat="false" ht="15" hidden="false" customHeight="false" outlineLevel="0" collapsed="false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</row>
    <row r="50" customFormat="false" ht="15" hidden="false" customHeight="false" outlineLevel="0" collapsed="false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</row>
    <row r="52" customFormat="false" ht="15" hidden="false" customHeight="false" outlineLevel="0" collapsed="false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</row>
    <row r="54" customFormat="false" ht="15" hidden="false" customHeight="false" outlineLevel="0" collapsed="false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</row>
    <row r="56" customFormat="false" ht="15" hidden="false" customHeight="false" outlineLevel="0" collapsed="false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</row>
    <row r="58" customFormat="false" ht="15" hidden="false" customHeight="false" outlineLevel="0" collapsed="false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</row>
    <row r="59" customFormat="false" ht="15" hidden="false" customHeight="false" outlineLevel="0" collapsed="false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</row>
    <row r="60" customFormat="false" ht="15" hidden="false" customHeight="false" outlineLevel="0" collapsed="false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</row>
    <row r="61" customFormat="false" ht="15" hidden="false" customHeight="false" outlineLevel="0" collapsed="false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</row>
    <row r="62" customFormat="false" ht="15" hidden="false" customHeight="false" outlineLevel="0" collapsed="false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</row>
    <row r="63" customFormat="false" ht="15" hidden="false" customHeight="false" outlineLevel="0" collapsed="false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</row>
    <row r="64" customFormat="false" ht="15" hidden="false" customHeight="false" outlineLevel="0" collapsed="false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</row>
    <row r="65" customFormat="false" ht="15" hidden="false" customHeight="false" outlineLevel="0" collapsed="false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</row>
    <row r="66" customFormat="false" ht="15" hidden="false" customHeight="false" outlineLevel="0" collapsed="false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</row>
    <row r="67" customFormat="false" ht="15" hidden="false" customHeight="false" outlineLevel="0" collapsed="false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</row>
    <row r="68" customFormat="false" ht="15" hidden="false" customHeight="false" outlineLevel="0" collapsed="false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</row>
    <row r="69" customFormat="false" ht="15" hidden="false" customHeight="false" outlineLevel="0" collapsed="false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</row>
    <row r="70" customFormat="false" ht="15" hidden="false" customHeight="false" outlineLevel="0" collapsed="false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</row>
    <row r="71" customFormat="false" ht="15" hidden="false" customHeight="false" outlineLevel="0" collapsed="false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</row>
    <row r="72" customFormat="false" ht="15" hidden="false" customHeight="false" outlineLevel="0" collapsed="false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</row>
    <row r="73" customFormat="false" ht="15" hidden="false" customHeight="false" outlineLevel="0" collapsed="false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</row>
    <row r="74" customFormat="false" ht="15" hidden="false" customHeight="false" outlineLevel="0" collapsed="false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</row>
    <row r="75" customFormat="false" ht="15" hidden="false" customHeight="false" outlineLevel="0" collapsed="false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</row>
    <row r="76" customFormat="false" ht="15" hidden="false" customHeight="false" outlineLevel="0" collapsed="false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</row>
    <row r="77" customFormat="false" ht="15" hidden="false" customHeight="false" outlineLevel="0" collapsed="false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</row>
    <row r="78" customFormat="false" ht="15" hidden="false" customHeight="false" outlineLevel="0" collapsed="false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</row>
    <row r="79" customFormat="false" ht="15" hidden="false" customHeight="false" outlineLevel="0" collapsed="false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</row>
    <row r="80" customFormat="false" ht="15" hidden="false" customHeight="false" outlineLevel="0" collapsed="false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</row>
    <row r="81" customFormat="false" ht="15" hidden="false" customHeight="false" outlineLevel="0" collapsed="false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</row>
    <row r="82" customFormat="false" ht="15" hidden="false" customHeight="false" outlineLevel="0" collapsed="false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</row>
    <row r="83" customFormat="false" ht="15" hidden="false" customHeight="false" outlineLevel="0" collapsed="false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</row>
    <row r="84" customFormat="false" ht="15" hidden="false" customHeight="false" outlineLevel="0" collapsed="false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</row>
    <row r="85" customFormat="false" ht="15" hidden="false" customHeight="false" outlineLevel="0" collapsed="false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</row>
    <row r="86" customFormat="false" ht="15" hidden="false" customHeight="false" outlineLevel="0" collapsed="false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</row>
    <row r="87" customFormat="false" ht="15" hidden="false" customHeight="false" outlineLevel="0" collapsed="false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</row>
    <row r="88" customFormat="false" ht="15" hidden="false" customHeight="false" outlineLevel="0" collapsed="false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</row>
    <row r="89" customFormat="false" ht="15" hidden="false" customHeight="false" outlineLevel="0" collapsed="false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</row>
    <row r="90" customFormat="false" ht="15" hidden="false" customHeight="false" outlineLevel="0" collapsed="false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</row>
    <row r="91" customFormat="false" ht="15" hidden="false" customHeight="false" outlineLevel="0" collapsed="false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</row>
    <row r="92" customFormat="false" ht="15" hidden="false" customHeight="false" outlineLevel="0" collapsed="false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</row>
    <row r="93" customFormat="false" ht="15" hidden="false" customHeight="false" outlineLevel="0" collapsed="false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</row>
    <row r="94" customFormat="false" ht="15" hidden="false" customHeight="false" outlineLevel="0" collapsed="false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</row>
    <row r="95" customFormat="false" ht="15" hidden="false" customHeight="false" outlineLevel="0" collapsed="false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</row>
    <row r="96" customFormat="false" ht="15" hidden="false" customHeight="false" outlineLevel="0" collapsed="false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</row>
    <row r="97" customFormat="false" ht="15" hidden="false" customHeight="false" outlineLevel="0" collapsed="false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</row>
    <row r="98" customFormat="false" ht="15" hidden="false" customHeight="false" outlineLevel="0" collapsed="false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</row>
    <row r="99" customFormat="false" ht="15" hidden="false" customHeight="false" outlineLevel="0" collapsed="false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</row>
    <row r="100" customFormat="false" ht="15" hidden="false" customHeight="false" outlineLevel="0" collapsed="false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</row>
    <row r="101" customFormat="false" ht="15" hidden="false" customHeight="false" outlineLevel="0" collapsed="false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</row>
    <row r="102" customFormat="false" ht="15" hidden="false" customHeight="false" outlineLevel="0" collapsed="false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</row>
    <row r="103" customFormat="false" ht="15" hidden="false" customHeight="false" outlineLevel="0" collapsed="false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</row>
    <row r="104" customFormat="false" ht="15" hidden="false" customHeight="false" outlineLevel="0" collapsed="false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</row>
    <row r="105" customFormat="false" ht="15" hidden="false" customHeight="false" outlineLevel="0" collapsed="false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</row>
    <row r="106" customFormat="false" ht="15" hidden="false" customHeight="false" outlineLevel="0" collapsed="false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</row>
    <row r="107" customFormat="false" ht="15" hidden="false" customHeight="false" outlineLevel="0" collapsed="false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</row>
    <row r="108" customFormat="false" ht="15" hidden="false" customHeight="false" outlineLevel="0" collapsed="false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</row>
    <row r="109" customFormat="false" ht="15" hidden="false" customHeight="false" outlineLevel="0" collapsed="false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</row>
    <row r="110" customFormat="false" ht="15" hidden="false" customHeight="false" outlineLevel="0" collapsed="false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</row>
    <row r="111" customFormat="false" ht="15" hidden="false" customHeight="false" outlineLevel="0" collapsed="false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</row>
    <row r="112" customFormat="false" ht="15" hidden="false" customHeight="false" outlineLevel="0" collapsed="false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</row>
    <row r="113" customFormat="false" ht="15" hidden="false" customHeight="false" outlineLevel="0" collapsed="false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</row>
    <row r="114" customFormat="false" ht="15" hidden="false" customHeight="false" outlineLevel="0" collapsed="false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</row>
    <row r="115" customFormat="false" ht="15" hidden="false" customHeight="false" outlineLevel="0" collapsed="false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</row>
    <row r="116" customFormat="false" ht="15" hidden="false" customHeight="false" outlineLevel="0" collapsed="false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</row>
    <row r="117" customFormat="false" ht="15" hidden="false" customHeight="false" outlineLevel="0" collapsed="false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</row>
    <row r="118" customFormat="false" ht="15" hidden="false" customHeight="false" outlineLevel="0" collapsed="false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</row>
    <row r="119" customFormat="false" ht="15" hidden="false" customHeight="false" outlineLevel="0" collapsed="false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</row>
    <row r="120" customFormat="false" ht="15" hidden="false" customHeight="false" outlineLevel="0" collapsed="false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</row>
    <row r="121" customFormat="false" ht="15" hidden="false" customHeight="false" outlineLevel="0" collapsed="false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</row>
  </sheetData>
  <autoFilter ref="A1:K121"/>
  <dataValidations count="6">
    <dataValidation allowBlank="true" error="ใช้ค่าตามคำอธิบายใน Readme" errorStyle="stop" errorTitle="ข้อมูลไม่ตรงรูปแบบ" operator="between" showDropDown="false" showErrorMessage="true" showInputMessage="false" sqref="B2:B121" type="list">
      <formula1>"pilot,main"</formula1>
      <formula2>0</formula2>
    </dataValidation>
    <dataValidation allowBlank="true" error="ใช้ค่าตามคำอธิบายใน Readme" errorStyle="stop" errorTitle="ข้อมูลไม่ตรงรูปแบบ" operator="between" showDropDown="false" showErrorMessage="true" showInputMessage="false" sqref="C2:C121" type="list">
      <formula1>"W-A_P-B,P-A_W-B,W-B_P-A,P-B_W-A"</formula1>
      <formula2>0</formula2>
    </dataValidation>
    <dataValidation allowBlank="true" error="ใช้ค่าตามคำอธิบายใน Readme" errorStyle="stop" errorTitle="ข้อมูลไม่ตรงรูปแบบ" operator="between" showDropDown="false" showErrorMessage="true" showInputMessage="false" sqref="E2:E121" type="list">
      <formula1>"W,P"</formula1>
      <formula2>0</formula2>
    </dataValidation>
    <dataValidation allowBlank="true" error="ใช้ค่าตามคำอธิบายใน Readme" errorStyle="stop" errorTitle="ข้อมูลไม่ตรงรูปแบบ" operator="between" showDropDown="false" showErrorMessage="true" showInputMessage="false" sqref="F2:F121" type="list">
      <formula1>"A,B"</formula1>
      <formula2>0</formula2>
    </dataValidation>
    <dataValidation allowBlank="true" error="ใช้ค่าตามคำอธิบายใน Readme" errorStyle="stop" errorTitle="ข้อมูลไม่ตรงรูปแบบ" operator="between" showDropDown="false" showErrorMessage="true" showInputMessage="false" sqref="G2:G121" type="whole">
      <formula1>0</formula1>
      <formula2>4</formula2>
    </dataValidation>
    <dataValidation allowBlank="true" error="ใช้ค่าตามคำอธิบายใน Readme" errorStyle="stop" errorTitle="ข้อมูลไม่ตรงรูปแบบ" operator="greaterThanOrEqual" showDropDown="false" showErrorMessage="true" showInputMessage="false" sqref="H2:H121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9" min="2" style="0" width="22"/>
  </cols>
  <sheetData>
    <row r="1" customFormat="false" ht="36" hidden="false" customHeight="true" outlineLevel="0" collapsed="false">
      <c r="A1" s="2" t="s">
        <v>67</v>
      </c>
      <c r="B1" s="1" t="s">
        <v>68</v>
      </c>
      <c r="C1" s="2" t="s">
        <v>69</v>
      </c>
      <c r="D1" s="2" t="s">
        <v>70</v>
      </c>
      <c r="E1" s="2" t="s">
        <v>71</v>
      </c>
      <c r="F1" s="2" t="s">
        <v>72</v>
      </c>
      <c r="G1" s="2" t="s">
        <v>73</v>
      </c>
      <c r="H1" s="2" t="s">
        <v>74</v>
      </c>
      <c r="I1" s="2" t="s">
        <v>75</v>
      </c>
    </row>
    <row r="2" customFormat="false" ht="15" hidden="false" customHeight="false" outlineLevel="0" collapsed="false">
      <c r="A2" s="3" t="s">
        <v>76</v>
      </c>
      <c r="B2" s="11" t="n">
        <f aca="false">SUM(C2:E2)</f>
        <v>0</v>
      </c>
      <c r="C2" s="11" t="n">
        <f aca="false">COUNTIFS(Tasks!$B$2:$B$241,"main",Tasks!$C$2:$C$241,A2,Tasks!$D$2:$D$241,"&lt;&gt;",Tasks!$D$2:$D$241,2)</f>
        <v>0</v>
      </c>
      <c r="D2" s="11" t="n">
        <f aca="false">COUNTIFS(Tasks!$B$2:$B$241,"main",Tasks!$C$2:$C$241,A2,Tasks!$D$2:$D$241,"&lt;&gt;",Tasks!$D$2:$D$241,1)</f>
        <v>0</v>
      </c>
      <c r="E2" s="11" t="n">
        <f aca="false">COUNTIFS(Tasks!$B$2:$B$241,"main",Tasks!$C$2:$C$241,A2,Tasks!$D$2:$D$241,"&lt;&gt;",Tasks!$D$2:$D$241,0)</f>
        <v>0</v>
      </c>
      <c r="F2" s="12" t="str">
        <f aca="false">IF(B2=0,"",C2/B2)</f>
        <v/>
      </c>
      <c r="G2" s="12" t="str">
        <f aca="false">IF(B2=0,"",(C2+D2)/B2)</f>
        <v/>
      </c>
      <c r="H2" s="13" t="str">
        <f aca="false">IFERROR(AVERAGEIFS(Tasks!$E$2:$E$241,Tasks!$B$2:$B$241,"main",Tasks!$C$2:$C$241,A2,Tasks!$D$2:$D$241,2,Tasks!$E$2:$E$241,"&gt;=0"),"")</f>
        <v/>
      </c>
      <c r="I2" s="11" t="n">
        <f aca="false">COUNTIFS(Tasks!$B$2:$B$241,"main",Tasks!$C$2:$C$241,A2,Tasks!$D$2:$D$241,"&lt;&gt;",Tasks!$D$2:$D$241,"withdrawn")</f>
        <v>0</v>
      </c>
    </row>
    <row r="3" customFormat="false" ht="15" hidden="false" customHeight="false" outlineLevel="0" collapsed="false">
      <c r="A3" s="4" t="s">
        <v>77</v>
      </c>
      <c r="B3" s="14" t="n">
        <f aca="false">SUM(C3:E3)</f>
        <v>0</v>
      </c>
      <c r="C3" s="14" t="n">
        <f aca="false">COUNTIFS(Tasks!$B$2:$B$241,"main",Tasks!$C$2:$C$241,A3,Tasks!$D$2:$D$241,"&lt;&gt;",Tasks!$D$2:$D$241,2)</f>
        <v>0</v>
      </c>
      <c r="D3" s="14" t="n">
        <f aca="false">COUNTIFS(Tasks!$B$2:$B$241,"main",Tasks!$C$2:$C$241,A3,Tasks!$D$2:$D$241,"&lt;&gt;",Tasks!$D$2:$D$241,1)</f>
        <v>0</v>
      </c>
      <c r="E3" s="14" t="n">
        <f aca="false">COUNTIFS(Tasks!$B$2:$B$241,"main",Tasks!$C$2:$C$241,A3,Tasks!$D$2:$D$241,"&lt;&gt;",Tasks!$D$2:$D$241,0)</f>
        <v>0</v>
      </c>
      <c r="F3" s="15" t="str">
        <f aca="false">IF(B3=0,"",C3/B3)</f>
        <v/>
      </c>
      <c r="G3" s="15" t="str">
        <f aca="false">IF(B3=0,"",(C3+D3)/B3)</f>
        <v/>
      </c>
      <c r="H3" s="16" t="str">
        <f aca="false">IFERROR(AVERAGEIFS(Tasks!$E$2:$E$241,Tasks!$B$2:$B$241,"main",Tasks!$C$2:$C$241,A3,Tasks!$D$2:$D$241,2,Tasks!$E$2:$E$241,"&gt;=0"),"")</f>
        <v/>
      </c>
      <c r="I3" s="14" t="n">
        <f aca="false">COUNTIFS(Tasks!$B$2:$B$241,"main",Tasks!$C$2:$C$241,A3,Tasks!$D$2:$D$241,"&lt;&gt;",Tasks!$D$2:$D$241,"withdrawn")</f>
        <v>0</v>
      </c>
    </row>
    <row r="4" customFormat="false" ht="15" hidden="false" customHeight="false" outlineLevel="0" collapsed="false">
      <c r="A4" s="3" t="s">
        <v>78</v>
      </c>
      <c r="B4" s="11" t="n">
        <f aca="false">SUM(C4:E4)</f>
        <v>0</v>
      </c>
      <c r="C4" s="11" t="n">
        <f aca="false">COUNTIFS(Tasks!$B$2:$B$241,"main",Tasks!$C$2:$C$241,A4,Tasks!$D$2:$D$241,"&lt;&gt;",Tasks!$D$2:$D$241,2)</f>
        <v>0</v>
      </c>
      <c r="D4" s="11" t="n">
        <f aca="false">COUNTIFS(Tasks!$B$2:$B$241,"main",Tasks!$C$2:$C$241,A4,Tasks!$D$2:$D$241,"&lt;&gt;",Tasks!$D$2:$D$241,1)</f>
        <v>0</v>
      </c>
      <c r="E4" s="11" t="n">
        <f aca="false">COUNTIFS(Tasks!$B$2:$B$241,"main",Tasks!$C$2:$C$241,A4,Tasks!$D$2:$D$241,"&lt;&gt;",Tasks!$D$2:$D$241,0)</f>
        <v>0</v>
      </c>
      <c r="F4" s="12" t="str">
        <f aca="false">IF(B4=0,"",C4/B4)</f>
        <v/>
      </c>
      <c r="G4" s="12" t="str">
        <f aca="false">IF(B4=0,"",(C4+D4)/B4)</f>
        <v/>
      </c>
      <c r="H4" s="13" t="str">
        <f aca="false">IFERROR(AVERAGEIFS(Tasks!$E$2:$E$241,Tasks!$B$2:$B$241,"main",Tasks!$C$2:$C$241,A4,Tasks!$D$2:$D$241,2,Tasks!$E$2:$E$241,"&gt;=0"),"")</f>
        <v/>
      </c>
      <c r="I4" s="11" t="n">
        <f aca="false">COUNTIFS(Tasks!$B$2:$B$241,"main",Tasks!$C$2:$C$241,A4,Tasks!$D$2:$D$241,"&lt;&gt;",Tasks!$D$2:$D$241,"withdrawn")</f>
        <v>0</v>
      </c>
    </row>
    <row r="5" customFormat="false" ht="15" hidden="false" customHeight="false" outlineLevel="0" collapsed="false">
      <c r="A5" s="4" t="s">
        <v>79</v>
      </c>
      <c r="B5" s="14" t="n">
        <f aca="false">SUM(C5:E5)</f>
        <v>0</v>
      </c>
      <c r="C5" s="14" t="n">
        <f aca="false">COUNTIFS(Tasks!$B$2:$B$241,"main",Tasks!$C$2:$C$241,A5,Tasks!$D$2:$D$241,"&lt;&gt;",Tasks!$D$2:$D$241,2)</f>
        <v>0</v>
      </c>
      <c r="D5" s="14" t="n">
        <f aca="false">COUNTIFS(Tasks!$B$2:$B$241,"main",Tasks!$C$2:$C$241,A5,Tasks!$D$2:$D$241,"&lt;&gt;",Tasks!$D$2:$D$241,1)</f>
        <v>0</v>
      </c>
      <c r="E5" s="14" t="n">
        <f aca="false">COUNTIFS(Tasks!$B$2:$B$241,"main",Tasks!$C$2:$C$241,A5,Tasks!$D$2:$D$241,"&lt;&gt;",Tasks!$D$2:$D$241,0)</f>
        <v>0</v>
      </c>
      <c r="F5" s="15" t="str">
        <f aca="false">IF(B5=0,"",C5/B5)</f>
        <v/>
      </c>
      <c r="G5" s="15" t="str">
        <f aca="false">IF(B5=0,"",(C5+D5)/B5)</f>
        <v/>
      </c>
      <c r="H5" s="16" t="str">
        <f aca="false">IFERROR(AVERAGEIFS(Tasks!$E$2:$E$241,Tasks!$B$2:$B$241,"main",Tasks!$C$2:$C$241,A5,Tasks!$D$2:$D$241,2,Tasks!$E$2:$E$241,"&gt;=0"),"")</f>
        <v/>
      </c>
      <c r="I5" s="14" t="n">
        <f aca="false">COUNTIFS(Tasks!$B$2:$B$241,"main",Tasks!$C$2:$C$241,A5,Tasks!$D$2:$D$241,"&lt;&gt;",Tasks!$D$2:$D$241,"withdrawn")</f>
        <v>0</v>
      </c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</row>
    <row r="7" customFormat="false" ht="18.65" hidden="false" customHeight="false" outlineLevel="0" collapsed="false">
      <c r="A7" s="5" t="s">
        <v>80</v>
      </c>
      <c r="B7" s="4" t="s">
        <v>81</v>
      </c>
      <c r="C7" s="5" t="s">
        <v>82</v>
      </c>
      <c r="D7" s="4" t="s">
        <v>83</v>
      </c>
      <c r="E7" s="5" t="s">
        <v>84</v>
      </c>
      <c r="F7" s="5" t="s">
        <v>85</v>
      </c>
      <c r="G7" s="5" t="s">
        <v>86</v>
      </c>
      <c r="H7" s="5" t="s">
        <v>87</v>
      </c>
      <c r="I7" s="5" t="s">
        <v>88</v>
      </c>
    </row>
    <row r="8" customFormat="false" ht="15" hidden="false" customHeight="false" outlineLevel="0" collapsed="false">
      <c r="A8" s="3" t="s">
        <v>48</v>
      </c>
      <c r="B8" s="11" t="n">
        <f aca="false">COUNTIFS(Survey!$B$2:$B$61,"main",Survey!$C$2:$C$61,"&gt;=1",Survey!$C$2:$C$61,"&lt;=5")</f>
        <v>0</v>
      </c>
      <c r="C8" s="17" t="str">
        <f aca="false">IFERROR(AVERAGEIFS(Survey!$C$2:$C$61,Survey!$B$2:$B$61,"main",Survey!$C$2:$C$61,"&gt;=1",Survey!$C$2:$C$61,"&lt;=5"),"")</f>
        <v/>
      </c>
      <c r="D8" s="17" t="str">
        <f aca="false">IF(B8&lt;2,"",SQRT(MAX(0,(SUMPRODUCT(--(Survey!$B$2:$B$61="main"),Survey!$C$2:$C$61,Survey!$C$2:$C$61)-SUMIF(Survey!$B$2:$B$61,"main",Survey!$C$2:$C$61)^2/B8)/(B8-1))))</f>
        <v/>
      </c>
      <c r="E8" s="11" t="n">
        <f aca="false">COUNTIFS(Survey!$B$2:$B$61,"main",Survey!$C$2:$C$61,1)</f>
        <v>0</v>
      </c>
      <c r="F8" s="11" t="n">
        <f aca="false">COUNTIFS(Survey!$B$2:$B$61,"main",Survey!$C$2:$C$61,2)</f>
        <v>0</v>
      </c>
      <c r="G8" s="11" t="n">
        <f aca="false">COUNTIFS(Survey!$B$2:$B$61,"main",Survey!$C$2:$C$61,3)</f>
        <v>0</v>
      </c>
      <c r="H8" s="11" t="n">
        <f aca="false">COUNTIFS(Survey!$B$2:$B$61,"main",Survey!$C$2:$C$61,4)</f>
        <v>0</v>
      </c>
      <c r="I8" s="11" t="n">
        <f aca="false">COUNTIFS(Survey!$B$2:$B$61,"main",Survey!$C$2:$C$61,5)</f>
        <v>0</v>
      </c>
    </row>
    <row r="9" customFormat="false" ht="15" hidden="false" customHeight="false" outlineLevel="0" collapsed="false">
      <c r="A9" s="4" t="s">
        <v>49</v>
      </c>
      <c r="B9" s="14" t="n">
        <f aca="false">COUNTIFS(Survey!$B$2:$B$61,"main",Survey!$D$2:$D$61,"&gt;=1",Survey!$D$2:$D$61,"&lt;=5")</f>
        <v>0</v>
      </c>
      <c r="C9" s="18" t="str">
        <f aca="false">IFERROR(AVERAGEIFS(Survey!$D$2:$D$61,Survey!$B$2:$B$61,"main",Survey!$D$2:$D$61,"&gt;=1",Survey!$D$2:$D$61,"&lt;=5"),"")</f>
        <v/>
      </c>
      <c r="D9" s="18" t="str">
        <f aca="false">IF(B9&lt;2,"",SQRT(MAX(0,(SUMPRODUCT(--(Survey!$B$2:$B$61="main"),Survey!$D$2:$D$61,Survey!$D$2:$D$61)-SUMIF(Survey!$B$2:$B$61,"main",Survey!$D$2:$D$61)^2/B9)/(B9-1))))</f>
        <v/>
      </c>
      <c r="E9" s="14" t="n">
        <f aca="false">COUNTIFS(Survey!$B$2:$B$61,"main",Survey!$D$2:$D$61,1)</f>
        <v>0</v>
      </c>
      <c r="F9" s="14" t="n">
        <f aca="false">COUNTIFS(Survey!$B$2:$B$61,"main",Survey!$D$2:$D$61,2)</f>
        <v>0</v>
      </c>
      <c r="G9" s="14" t="n">
        <f aca="false">COUNTIFS(Survey!$B$2:$B$61,"main",Survey!$D$2:$D$61,3)</f>
        <v>0</v>
      </c>
      <c r="H9" s="14" t="n">
        <f aca="false">COUNTIFS(Survey!$B$2:$B$61,"main",Survey!$D$2:$D$61,4)</f>
        <v>0</v>
      </c>
      <c r="I9" s="14" t="n">
        <f aca="false">COUNTIFS(Survey!$B$2:$B$61,"main",Survey!$D$2:$D$61,5)</f>
        <v>0</v>
      </c>
    </row>
    <row r="10" customFormat="false" ht="15" hidden="false" customHeight="false" outlineLevel="0" collapsed="false">
      <c r="A10" s="3" t="s">
        <v>50</v>
      </c>
      <c r="B10" s="11" t="n">
        <f aca="false">COUNTIFS(Survey!$B$2:$B$61,"main",Survey!$E$2:$E$61,"&gt;=1",Survey!$E$2:$E$61,"&lt;=5")</f>
        <v>0</v>
      </c>
      <c r="C10" s="17" t="str">
        <f aca="false">IFERROR(AVERAGEIFS(Survey!$E$2:$E$61,Survey!$B$2:$B$61,"main",Survey!$E$2:$E$61,"&gt;=1",Survey!$E$2:$E$61,"&lt;=5"),"")</f>
        <v/>
      </c>
      <c r="D10" s="17" t="str">
        <f aca="false">IF(B10&lt;2,"",SQRT(MAX(0,(SUMPRODUCT(--(Survey!$B$2:$B$61="main"),Survey!$E$2:$E$61,Survey!$E$2:$E$61)-SUMIF(Survey!$B$2:$B$61,"main",Survey!$E$2:$E$61)^2/B10)/(B10-1))))</f>
        <v/>
      </c>
      <c r="E10" s="11" t="n">
        <f aca="false">COUNTIFS(Survey!$B$2:$B$61,"main",Survey!$E$2:$E$61,1)</f>
        <v>0</v>
      </c>
      <c r="F10" s="11" t="n">
        <f aca="false">COUNTIFS(Survey!$B$2:$B$61,"main",Survey!$E$2:$E$61,2)</f>
        <v>0</v>
      </c>
      <c r="G10" s="11" t="n">
        <f aca="false">COUNTIFS(Survey!$B$2:$B$61,"main",Survey!$E$2:$E$61,3)</f>
        <v>0</v>
      </c>
      <c r="H10" s="11" t="n">
        <f aca="false">COUNTIFS(Survey!$B$2:$B$61,"main",Survey!$E$2:$E$61,4)</f>
        <v>0</v>
      </c>
      <c r="I10" s="11" t="n">
        <f aca="false">COUNTIFS(Survey!$B$2:$B$61,"main",Survey!$E$2:$E$61,5)</f>
        <v>0</v>
      </c>
    </row>
    <row r="11" customFormat="false" ht="15" hidden="false" customHeight="false" outlineLevel="0" collapsed="false">
      <c r="A11" s="4" t="s">
        <v>51</v>
      </c>
      <c r="B11" s="14" t="n">
        <f aca="false">COUNTIFS(Survey!$B$2:$B$61,"main",Survey!$F$2:$F$61,"&gt;=1",Survey!$F$2:$F$61,"&lt;=5")</f>
        <v>0</v>
      </c>
      <c r="C11" s="18" t="str">
        <f aca="false">IFERROR(AVERAGEIFS(Survey!$F$2:$F$61,Survey!$B$2:$B$61,"main",Survey!$F$2:$F$61,"&gt;=1",Survey!$F$2:$F$61,"&lt;=5"),"")</f>
        <v/>
      </c>
      <c r="D11" s="18" t="str">
        <f aca="false">IF(B11&lt;2,"",SQRT(MAX(0,(SUMPRODUCT(--(Survey!$B$2:$B$61="main"),Survey!$F$2:$F$61,Survey!$F$2:$F$61)-SUMIF(Survey!$B$2:$B$61,"main",Survey!$F$2:$F$61)^2/B11)/(B11-1))))</f>
        <v/>
      </c>
      <c r="E11" s="14" t="n">
        <f aca="false">COUNTIFS(Survey!$B$2:$B$61,"main",Survey!$F$2:$F$61,1)</f>
        <v>0</v>
      </c>
      <c r="F11" s="14" t="n">
        <f aca="false">COUNTIFS(Survey!$B$2:$B$61,"main",Survey!$F$2:$F$61,2)</f>
        <v>0</v>
      </c>
      <c r="G11" s="14" t="n">
        <f aca="false">COUNTIFS(Survey!$B$2:$B$61,"main",Survey!$F$2:$F$61,3)</f>
        <v>0</v>
      </c>
      <c r="H11" s="14" t="n">
        <f aca="false">COUNTIFS(Survey!$B$2:$B$61,"main",Survey!$F$2:$F$61,4)</f>
        <v>0</v>
      </c>
      <c r="I11" s="14" t="n">
        <f aca="false">COUNTIFS(Survey!$B$2:$B$61,"main",Survey!$F$2:$F$61,5)</f>
        <v>0</v>
      </c>
    </row>
    <row r="12" customFormat="false" ht="15" hidden="false" customHeight="false" outlineLevel="0" collapsed="false">
      <c r="A12" s="3" t="s">
        <v>52</v>
      </c>
      <c r="B12" s="11" t="n">
        <f aca="false">COUNTIFS(Survey!$B$2:$B$61,"main",Survey!$G$2:$G$61,"&gt;=1",Survey!$G$2:$G$61,"&lt;=5")</f>
        <v>0</v>
      </c>
      <c r="C12" s="17" t="str">
        <f aca="false">IFERROR(AVERAGEIFS(Survey!$G$2:$G$61,Survey!$B$2:$B$61,"main",Survey!$G$2:$G$61,"&gt;=1",Survey!$G$2:$G$61,"&lt;=5"),"")</f>
        <v/>
      </c>
      <c r="D12" s="17" t="str">
        <f aca="false">IF(B12&lt;2,"",SQRT(MAX(0,(SUMPRODUCT(--(Survey!$B$2:$B$61="main"),Survey!$G$2:$G$61,Survey!$G$2:$G$61)-SUMIF(Survey!$B$2:$B$61,"main",Survey!$G$2:$G$61)^2/B12)/(B12-1))))</f>
        <v/>
      </c>
      <c r="E12" s="11" t="n">
        <f aca="false">COUNTIFS(Survey!$B$2:$B$61,"main",Survey!$G$2:$G$61,1)</f>
        <v>0</v>
      </c>
      <c r="F12" s="11" t="n">
        <f aca="false">COUNTIFS(Survey!$B$2:$B$61,"main",Survey!$G$2:$G$61,2)</f>
        <v>0</v>
      </c>
      <c r="G12" s="11" t="n">
        <f aca="false">COUNTIFS(Survey!$B$2:$B$61,"main",Survey!$G$2:$G$61,3)</f>
        <v>0</v>
      </c>
      <c r="H12" s="11" t="n">
        <f aca="false">COUNTIFS(Survey!$B$2:$B$61,"main",Survey!$G$2:$G$61,4)</f>
        <v>0</v>
      </c>
      <c r="I12" s="11" t="n">
        <f aca="false">COUNTIFS(Survey!$B$2:$B$61,"main",Survey!$G$2:$G$61,5)</f>
        <v>0</v>
      </c>
    </row>
    <row r="13" customFormat="false" ht="15" hidden="false" customHeight="false" outlineLevel="0" collapsed="false">
      <c r="A13" s="4" t="s">
        <v>53</v>
      </c>
      <c r="B13" s="14" t="n">
        <f aca="false">COUNTIFS(Survey!$B$2:$B$61,"main",Survey!$H$2:$H$61,"&gt;=1",Survey!$H$2:$H$61,"&lt;=5")</f>
        <v>0</v>
      </c>
      <c r="C13" s="18" t="str">
        <f aca="false">IFERROR(AVERAGEIFS(Survey!$H$2:$H$61,Survey!$B$2:$B$61,"main",Survey!$H$2:$H$61,"&gt;=1",Survey!$H$2:$H$61,"&lt;=5"),"")</f>
        <v/>
      </c>
      <c r="D13" s="18" t="str">
        <f aca="false">IF(B13&lt;2,"",SQRT(MAX(0,(SUMPRODUCT(--(Survey!$B$2:$B$61="main"),Survey!$H$2:$H$61,Survey!$H$2:$H$61)-SUMIF(Survey!$B$2:$B$61,"main",Survey!$H$2:$H$61)^2/B13)/(B13-1))))</f>
        <v/>
      </c>
      <c r="E13" s="14" t="n">
        <f aca="false">COUNTIFS(Survey!$B$2:$B$61,"main",Survey!$H$2:$H$61,1)</f>
        <v>0</v>
      </c>
      <c r="F13" s="14" t="n">
        <f aca="false">COUNTIFS(Survey!$B$2:$B$61,"main",Survey!$H$2:$H$61,2)</f>
        <v>0</v>
      </c>
      <c r="G13" s="14" t="n">
        <f aca="false">COUNTIFS(Survey!$B$2:$B$61,"main",Survey!$H$2:$H$61,3)</f>
        <v>0</v>
      </c>
      <c r="H13" s="14" t="n">
        <f aca="false">COUNTIFS(Survey!$B$2:$B$61,"main",Survey!$H$2:$H$61,4)</f>
        <v>0</v>
      </c>
      <c r="I13" s="14" t="n">
        <f aca="false">COUNTIFS(Survey!$B$2:$B$61,"main",Survey!$H$2:$H$61,5)</f>
        <v>0</v>
      </c>
    </row>
    <row r="14" customFormat="false" ht="15" hidden="false" customHeight="false" outlineLevel="0" collapsed="false">
      <c r="A14" s="3" t="s">
        <v>54</v>
      </c>
      <c r="B14" s="11" t="n">
        <f aca="false">COUNTIFS(Survey!$B$2:$B$61,"main",Survey!$I$2:$I$61,"&gt;=1",Survey!$I$2:$I$61,"&lt;=5")</f>
        <v>0</v>
      </c>
      <c r="C14" s="17" t="str">
        <f aca="false">IFERROR(AVERAGEIFS(Survey!$I$2:$I$61,Survey!$B$2:$B$61,"main",Survey!$I$2:$I$61,"&gt;=1",Survey!$I$2:$I$61,"&lt;=5"),"")</f>
        <v/>
      </c>
      <c r="D14" s="17" t="str">
        <f aca="false">IF(B14&lt;2,"",SQRT(MAX(0,(SUMPRODUCT(--(Survey!$B$2:$B$61="main"),Survey!$I$2:$I$61,Survey!$I$2:$I$61)-SUMIF(Survey!$B$2:$B$61,"main",Survey!$I$2:$I$61)^2/B14)/(B14-1))))</f>
        <v/>
      </c>
      <c r="E14" s="11" t="n">
        <f aca="false">COUNTIFS(Survey!$B$2:$B$61,"main",Survey!$I$2:$I$61,1)</f>
        <v>0</v>
      </c>
      <c r="F14" s="11" t="n">
        <f aca="false">COUNTIFS(Survey!$B$2:$B$61,"main",Survey!$I$2:$I$61,2)</f>
        <v>0</v>
      </c>
      <c r="G14" s="11" t="n">
        <f aca="false">COUNTIFS(Survey!$B$2:$B$61,"main",Survey!$I$2:$I$61,3)</f>
        <v>0</v>
      </c>
      <c r="H14" s="11" t="n">
        <f aca="false">COUNTIFS(Survey!$B$2:$B$61,"main",Survey!$I$2:$I$61,4)</f>
        <v>0</v>
      </c>
      <c r="I14" s="11" t="n">
        <f aca="false">COUNTIFS(Survey!$B$2:$B$61,"main",Survey!$I$2:$I$61,5)</f>
        <v>0</v>
      </c>
    </row>
    <row r="15" customFormat="false" ht="15" hidden="false" customHeight="false" outlineLevel="0" collapsed="false">
      <c r="A15" s="4" t="s">
        <v>55</v>
      </c>
      <c r="B15" s="14" t="n">
        <f aca="false">COUNTIFS(Survey!$B$2:$B$61,"main",Survey!$J$2:$J$61,"&gt;=1",Survey!$J$2:$J$61,"&lt;=5")</f>
        <v>0</v>
      </c>
      <c r="C15" s="18" t="str">
        <f aca="false">IFERROR(AVERAGEIFS(Survey!$J$2:$J$61,Survey!$B$2:$B$61,"main",Survey!$J$2:$J$61,"&gt;=1",Survey!$J$2:$J$61,"&lt;=5"),"")</f>
        <v/>
      </c>
      <c r="D15" s="18" t="str">
        <f aca="false">IF(B15&lt;2,"",SQRT(MAX(0,(SUMPRODUCT(--(Survey!$B$2:$B$61="main"),Survey!$J$2:$J$61,Survey!$J$2:$J$61)-SUMIF(Survey!$B$2:$B$61,"main",Survey!$J$2:$J$61)^2/B15)/(B15-1))))</f>
        <v/>
      </c>
      <c r="E15" s="14" t="n">
        <f aca="false">COUNTIFS(Survey!$B$2:$B$61,"main",Survey!$J$2:$J$61,1)</f>
        <v>0</v>
      </c>
      <c r="F15" s="14" t="n">
        <f aca="false">COUNTIFS(Survey!$B$2:$B$61,"main",Survey!$J$2:$J$61,2)</f>
        <v>0</v>
      </c>
      <c r="G15" s="14" t="n">
        <f aca="false">COUNTIFS(Survey!$B$2:$B$61,"main",Survey!$J$2:$J$61,3)</f>
        <v>0</v>
      </c>
      <c r="H15" s="14" t="n">
        <f aca="false">COUNTIFS(Survey!$B$2:$B$61,"main",Survey!$J$2:$J$61,4)</f>
        <v>0</v>
      </c>
      <c r="I15" s="14" t="n">
        <f aca="false">COUNTIFS(Survey!$B$2:$B$61,"main",Survey!$J$2:$J$61,5)</f>
        <v>0</v>
      </c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</row>
    <row r="18" customFormat="false" ht="18.65" hidden="false" customHeight="false" outlineLevel="0" collapsed="false">
      <c r="A18" s="6" t="s">
        <v>89</v>
      </c>
      <c r="B18" s="11" t="n">
        <f aca="false">COUNT(Survey!N2:N61)</f>
        <v>0</v>
      </c>
      <c r="C18" s="11" t="str">
        <f aca="false">IFERROR(AVERAGE(Survey!N2:N61),"")</f>
        <v/>
      </c>
      <c r="D18" s="11" t="str">
        <f aca="false">IFERROR(STDEV(Survey!N2:N61),"")</f>
        <v/>
      </c>
      <c r="E18" s="3"/>
      <c r="F18" s="3"/>
      <c r="G18" s="3"/>
      <c r="H18" s="3"/>
      <c r="I18" s="3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</row>
    <row r="20" customFormat="false" ht="18.65" hidden="false" customHeight="false" outlineLevel="0" collapsed="false">
      <c r="A20" s="6" t="s">
        <v>90</v>
      </c>
      <c r="B20" s="3"/>
      <c r="C20" s="3"/>
      <c r="D20" s="3"/>
      <c r="E20" s="3"/>
      <c r="F20" s="3"/>
      <c r="G20" s="3"/>
      <c r="H20" s="3"/>
      <c r="I20" s="3"/>
    </row>
    <row r="21" customFormat="false" ht="18.65" hidden="false" customHeight="false" outlineLevel="0" collapsed="false">
      <c r="A21" s="5" t="s">
        <v>91</v>
      </c>
      <c r="B21" s="4"/>
      <c r="C21" s="4"/>
      <c r="D21" s="4"/>
      <c r="E21" s="4"/>
      <c r="F21" s="4"/>
      <c r="G21" s="4"/>
      <c r="H21" s="4"/>
      <c r="I21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2026-10-03T10:43:28Z</dcterms:created>
  <dc:creator>openpyxl</dc:creator>
  <dc:description/>
  <dc:language>en-US</dc:language>
  <cp:lastModifiedBy/>
  <dcterms:modified xsi:type="dcterms:W3CDTF">2026-10-03T10:43:28Z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