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อ่านก่อนใช้" sheetId="1" state="visible" r:id="rId1"/>
    <sheet xmlns:r="http://schemas.openxmlformats.org/officeDocument/2006/relationships" name="งานวิจัย" sheetId="2" state="visible" r:id="rId2"/>
    <sheet xmlns:r="http://schemas.openxmlformats.org/officeDocument/2006/relationships" name="คำค้นและเกณฑ์" sheetId="3" state="visible" r:id="rId3"/>
    <sheet xmlns:r="http://schemas.openxmlformats.org/officeDocument/2006/relationships" name="ผลรีวิวที่มี" sheetId="4" state="visible" r:id="rId4"/>
    <sheet xmlns:r="http://schemas.openxmlformats.org/officeDocument/2006/relationships" name="ผลเทคนิคที่มี" sheetId="5" state="visible" r:id="rId5"/>
    <sheet xmlns:r="http://schemas.openxmlformats.org/officeDocument/2006/relationships" name="ภารกิจ_แบบว่าง" sheetId="6" state="visible" r:id="rId6"/>
    <sheet xmlns:r="http://schemas.openxmlformats.org/officeDocument/2006/relationships" name="แบบสอบถาม_แบบว่าง" sheetId="7" state="visible" r:id="rId7"/>
    <sheet xmlns:r="http://schemas.openxmlformats.org/officeDocument/2006/relationships" name="ก่อนส่ง" sheetId="8" state="visible" r:id="rId8"/>
  </sheets>
  <definedNames>
    <definedName name="_xlnm._FilterDatabase" localSheetId="0" hidden="1">'อ่านก่อนใช้'!$A$1:$B$6</definedName>
    <definedName name="_xlnm._FilterDatabase" localSheetId="1" hidden="1">'งานวิจัย'!$A$1:$O$9</definedName>
    <definedName name="_xlnm._FilterDatabase" localSheetId="2" hidden="1">'คำค้นและเกณฑ์'!$A$1:$C$7</definedName>
    <definedName name="_xlnm._FilterDatabase" localSheetId="3" hidden="1">'ผลรีวิวที่มี'!$A$1:$D$13</definedName>
    <definedName name="_xlnm._FilterDatabase" localSheetId="4" hidden="1">'ผลเทคนิคที่มี'!$A$1:$E$5</definedName>
    <definedName name="_xlnm._FilterDatabase" localSheetId="5" hidden="1">'ภารกิจ_แบบว่าง'!$A$1:$I$2</definedName>
    <definedName name="_xlnm._FilterDatabase" localSheetId="6" hidden="1">'แบบสอบถาม_แบบว่าง'!$A$1:$K$2</definedName>
    <definedName name="_xlnm._FilterDatabase" localSheetId="7" hidden="1">'ก่อนส่ง'!$A$1:$C$17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  <font>
      <name val="Noto Sans Thai"/>
      <color rgb="00233B30"/>
      <sz val="11"/>
    </font>
  </fonts>
  <fills count="4">
    <fill>
      <patternFill/>
    </fill>
    <fill>
      <patternFill patternType="gray125"/>
    </fill>
    <fill>
      <patternFill patternType="solid">
        <fgColor rgb="0019573C"/>
      </patternFill>
    </fill>
    <fill>
      <patternFill patternType="solid">
        <fgColor rgb="00EFF3E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1">
      <alignment vertical="top" wrapText="1"/>
    </xf>
    <xf numFmtId="0" fontId="3" fillId="0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oi.org/10.2307/25148625" TargetMode="External" Id="rId1"/><Relationship Type="http://schemas.openxmlformats.org/officeDocument/2006/relationships/hyperlink" Target="https://doi.org/10.2753/MIS0742-1222240302" TargetMode="External" Id="rId2"/><Relationship Type="http://schemas.openxmlformats.org/officeDocument/2006/relationships/hyperlink" Target="https://doi.org/10.1016/j.resconrec.2017.09.005" TargetMode="External" Id="rId3"/><Relationship Type="http://schemas.openxmlformats.org/officeDocument/2006/relationships/hyperlink" Target="https://doi.org/10.1177/1365480216659733" TargetMode="External" Id="rId4"/><Relationship Type="http://schemas.openxmlformats.org/officeDocument/2006/relationships/hyperlink" Target="https://doi.org/10.1207/S15326985EP3801_6" TargetMode="External" Id="rId5"/><Relationship Type="http://schemas.openxmlformats.org/officeDocument/2006/relationships/hyperlink" Target="https://doi.org/10.1080/10447310802205776" TargetMode="External" Id="rId6"/><Relationship Type="http://schemas.openxmlformats.org/officeDocument/2006/relationships/hyperlink" Target="https://doi.org/10.1191/1478088706qp063oa" TargetMode="External" Id="rId7"/><Relationship Type="http://schemas.openxmlformats.org/officeDocument/2006/relationships/hyperlink" Target="https://doi.org/10.2307/249008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</cols>
  <sheetData>
    <row r="1">
      <c r="A1" s="1" t="inlineStr">
        <is>
          <t>รายการ</t>
        </is>
      </c>
      <c r="B1" s="1" t="inlineStr">
        <is>
          <t>รายละเอียด</t>
        </is>
      </c>
    </row>
    <row r="2">
      <c r="A2" s="2" t="inlineStr">
        <is>
          <t>จำนวนรายการอ้างอิง</t>
        </is>
      </c>
      <c r="B2" s="2" t="inlineStr">
        <is>
          <t>8 บทความพร้อม DOI; เป็นรายการตั้งต้น</t>
        </is>
      </c>
    </row>
    <row r="3">
      <c r="A3" s="3" t="inlineStr">
        <is>
          <t>สถานะ</t>
        </is>
      </c>
      <c r="B3" s="3" t="inlineStr">
        <is>
          <t>ยังไม่เปิดตรวจต้นฉบับออนไลน์ในรอบนี้; ห้ามเติมผลเชิงตัวเลขจากการคาดเดา</t>
        </is>
      </c>
    </row>
    <row r="4">
      <c r="A4" s="2" t="inlineStr">
        <is>
          <t>ชุดข้อมูล ReBuild</t>
        </is>
      </c>
      <c r="B4" s="2" t="inlineStr">
        <is>
          <t>ผลเทคนิคและรีวิวจาก 3 ต.ค. 2569; ไม่มีการเก็บผู้ทดลองใหม่</t>
        </is>
      </c>
    </row>
    <row r="5">
      <c r="A5" s="3" t="inlineStr">
        <is>
          <t>ก่อนส่ง</t>
        </is>
      </c>
      <c r="B5" s="3" t="inlineStr">
        <is>
          <t>เปิด DOI ตรวจชื่อผู้แต่ง ปี วารสาร วิธีวิจัย ผล และเลขหน้าที่รองรับข้อความที่จะอ้าง</t>
        </is>
      </c>
    </row>
    <row r="6">
      <c r="A6" s="2" t="inlineStr">
        <is>
          <t>การเก็บเพิ่ม</t>
        </is>
      </c>
      <c r="B6" s="2" t="inlineStr">
        <is>
          <t>ชีตภารกิจและแบบสอบถามเป็นแบบว่าง ไม่ใช่ผลที่เก็บแล้ว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55" customWidth="1" min="4" max="4"/>
    <col width="26" customWidth="1" min="5" max="5"/>
    <col width="26" customWidth="1" min="6" max="6"/>
    <col width="26" customWidth="1" min="7" max="7"/>
    <col width="49" customWidth="1" min="8" max="8"/>
    <col width="55" customWidth="1" min="9" max="9"/>
    <col width="55" customWidth="1" min="10" max="10"/>
    <col width="26" customWidth="1" min="11" max="11"/>
    <col width="55" customWidth="1" min="12" max="12"/>
    <col width="55" customWidth="1" min="13" max="13"/>
    <col width="26" customWidth="1" min="14" max="14"/>
    <col width="26" customWidth="1" min="15" max="15"/>
  </cols>
  <sheetData>
    <row r="1">
      <c r="A1" s="1" t="inlineStr">
        <is>
          <t>รหัส</t>
        </is>
      </c>
      <c r="B1" s="1" t="inlineStr">
        <is>
          <t>ผู้แต่ง</t>
        </is>
      </c>
      <c r="C1" s="1" t="inlineStr">
        <is>
          <t>ปี</t>
        </is>
      </c>
      <c r="D1" s="1" t="inlineStr">
        <is>
          <t>ชื่อเรื่อง</t>
        </is>
      </c>
      <c r="E1" s="1" t="inlineStr">
        <is>
          <t>วารสาร</t>
        </is>
      </c>
      <c r="F1" s="1" t="inlineStr">
        <is>
          <t>ปีที่/ฉบับ</t>
        </is>
      </c>
      <c r="G1" s="1" t="inlineStr">
        <is>
          <t>หน้า</t>
        </is>
      </c>
      <c r="H1" s="1" t="inlineStr">
        <is>
          <t>DOI</t>
        </is>
      </c>
      <c r="I1" s="1" t="inlineStr">
        <is>
          <t>สาระตั้งต้น</t>
        </is>
      </c>
      <c r="J1" s="1" t="inlineStr">
        <is>
          <t>ใช้กับ ReBuild</t>
        </is>
      </c>
      <c r="K1" s="1" t="inlineStr">
        <is>
          <t>บท</t>
        </is>
      </c>
      <c r="L1" s="1" t="inlineStr">
        <is>
          <t>ข้อจำกัด</t>
        </is>
      </c>
      <c r="M1" s="1" t="inlineStr">
        <is>
          <t>สถานะตรวจ</t>
        </is>
      </c>
      <c r="N1" s="1" t="inlineStr">
        <is>
          <t>วันอ่านจริง</t>
        </is>
      </c>
      <c r="O1" s="1" t="inlineStr">
        <is>
          <t>หน้าที่รองรับ/บันทึก</t>
        </is>
      </c>
    </row>
    <row r="2" ht="100" customHeight="1">
      <c r="A2" s="2" t="inlineStr">
        <is>
          <t>R1</t>
        </is>
      </c>
      <c r="B2" s="2" t="inlineStr">
        <is>
          <t>Hevner, A. R., March, S. T., Park, J., &amp; Ram, S.</t>
        </is>
      </c>
      <c r="C2" s="2" t="n">
        <v>2004</v>
      </c>
      <c r="D2" s="2" t="inlineStr">
        <is>
          <t>Design science in information systems research</t>
        </is>
      </c>
      <c r="E2" s="2" t="inlineStr">
        <is>
          <t>MIS Quarterly</t>
        </is>
      </c>
      <c r="F2" s="2" t="inlineStr">
        <is>
          <t>28(1)</t>
        </is>
      </c>
      <c r="G2" s="2" t="inlineStr">
        <is>
          <t>75–105</t>
        </is>
      </c>
      <c r="H2" s="4" t="inlineStr">
        <is>
          <t>https://doi.org/10.2307/25148625</t>
        </is>
      </c>
      <c r="I2" s="2" t="inlineStr">
        <is>
          <t>เสนอกรอบและแนวทางสำหรับงานวิจัยที่สร้างและประเมินสิ่งประดิษฐ์ทางระบบสารสนเทศ</t>
        </is>
      </c>
      <c r="J2" s="2" t="inlineStr">
        <is>
          <t>อธิบายว่า ReBuild ต้องมีปัญหาเป้าหมาย การสร้างต้นแบบ และหลักฐานประเมิน ไม่ใช่เพียงพัฒนาเว็บเสร็จ</t>
        </is>
      </c>
      <c r="K2" s="2" t="inlineStr">
        <is>
          <t>1, 2, 3, 5</t>
        </is>
      </c>
      <c r="L2" s="2" t="inlineStr">
        <is>
          <t>ใช้เป็นกรอบในการอธิบายงาน ไม่อ้างว่าโครงงานทำตามทุกแนวทางครบแล้ว</t>
        </is>
      </c>
      <c r="M2" s="2" t="inlineStr">
        <is>
          <t>รายการบรรณานุกรมจากความรู้ที่มี; ยังตรวจข้อมูลทะเบียน/บทคัดย่อ/ฉบับเต็มออนไลน์ในรอบนี้ไม่ได้ (proxy 403)</t>
        </is>
      </c>
      <c r="N2" s="2" t="inlineStr"/>
      <c r="O2" s="2" t="inlineStr"/>
    </row>
    <row r="3" ht="100" customHeight="1">
      <c r="A3" s="3" t="inlineStr">
        <is>
          <t>R2</t>
        </is>
      </c>
      <c r="B3" s="3" t="inlineStr">
        <is>
          <t>Peffers, K., Tuunanen, T., Rothenberger, M. A., &amp; Chatterjee, S.</t>
        </is>
      </c>
      <c r="C3" s="3" t="n">
        <v>2007</v>
      </c>
      <c r="D3" s="3" t="inlineStr">
        <is>
          <t>A design science research methodology for information systems research</t>
        </is>
      </c>
      <c r="E3" s="3" t="inlineStr">
        <is>
          <t>Journal of Management Information Systems</t>
        </is>
      </c>
      <c r="F3" s="3" t="inlineStr">
        <is>
          <t>24(3)</t>
        </is>
      </c>
      <c r="G3" s="3" t="inlineStr">
        <is>
          <t>45–77</t>
        </is>
      </c>
      <c r="H3" s="5" t="inlineStr">
        <is>
          <t>https://doi.org/10.2753/MIS0742-1222240302</t>
        </is>
      </c>
      <c r="I3" s="3" t="inlineStr">
        <is>
          <t>อธิบายกระบวนการระบุปัญหา กำหนดเป้าหมาย ออกแบบและพัฒนา สาธิต ประเมิน และสื่อสารผล</t>
        </is>
      </c>
      <c r="J3" s="3" t="inlineStr">
        <is>
          <t>จัดบทที่ 3 ให้เห็นความเชื่อมโยงตั้งแต่ปัญหาจนถึงการประเมิน ReBuild</t>
        </is>
      </c>
      <c r="K3" s="3" t="inlineStr">
        <is>
          <t>2, 3</t>
        </is>
      </c>
      <c r="L3" s="3" t="inlineStr">
        <is>
          <t>เป็นกรอบจัดระบบการรายงานย้อนหลัง ต้องแยกขั้นตอนที่ทำจริงและขั้นตอนที่ยังไม่ได้ทำ</t>
        </is>
      </c>
      <c r="M3" s="3" t="inlineStr">
        <is>
          <t>รายการบรรณานุกรมจากความรู้ที่มี; ยังตรวจข้อมูลทะเบียน/บทคัดย่อ/ฉบับเต็มออนไลน์ในรอบนี้ไม่ได้ (proxy 403)</t>
        </is>
      </c>
      <c r="N3" s="3" t="inlineStr"/>
      <c r="O3" s="3" t="inlineStr"/>
    </row>
    <row r="4" ht="100" customHeight="1">
      <c r="A4" s="2" t="inlineStr">
        <is>
          <t>R3</t>
        </is>
      </c>
      <c r="B4" s="2" t="inlineStr">
        <is>
          <t>Kirchherr, J., Reike, D., &amp; Hekkert, M.</t>
        </is>
      </c>
      <c r="C4" s="2" t="n">
        <v>2017</v>
      </c>
      <c r="D4" s="2" t="inlineStr">
        <is>
          <t>Conceptualizing the circular economy: An analysis of 114 definitions</t>
        </is>
      </c>
      <c r="E4" s="2" t="inlineStr">
        <is>
          <t>Resources, Conservation and Recycling</t>
        </is>
      </c>
      <c r="F4" s="2" t="inlineStr">
        <is>
          <t>127</t>
        </is>
      </c>
      <c r="G4" s="2" t="inlineStr">
        <is>
          <t>221–232</t>
        </is>
      </c>
      <c r="H4" s="4" t="inlineStr">
        <is>
          <t>https://doi.org/10.1016/j.resconrec.2017.09.005</t>
        </is>
      </c>
      <c r="I4" s="2" t="inlineStr">
        <is>
          <t>วิเคราะห์ความหมายของเศรษฐกิจหมุนเวียน และช่วยแยกประเด็นการใช้ทรัพยากรซ้ำออกจากการกล่าวถึงความยั่งยืนแบบกว้าง</t>
        </is>
      </c>
      <c r="J4" s="2" t="inlineStr">
        <is>
          <t>ใช้เป็นบริบทเรื่องการยืดอายุการใช้งานวัสดุ ไม่ใช่หลักฐานว่าเว็บไซต์ลดขยะได้แล้ว</t>
        </is>
      </c>
      <c r="K4" s="2" t="inlineStr">
        <is>
          <t>1, 2, 5</t>
        </is>
      </c>
      <c r="L4" s="2" t="inlineStr">
        <is>
          <t>ReBuild ยังไม่มีการวัดน้ำหนักขยะหรือวิเคราะห์วัฏจักรชีวิต และการใช้ซ้ำไม่เท่ากับ upcycling ทุกกรณี</t>
        </is>
      </c>
      <c r="M4" s="2" t="inlineStr">
        <is>
          <t>รายการบรรณานุกรมจากความรู้ที่มี; ยังตรวจข้อมูลทะเบียน/บทคัดย่อ/ฉบับเต็มออนไลน์ในรอบนี้ไม่ได้ (proxy 403)</t>
        </is>
      </c>
      <c r="N4" s="2" t="inlineStr"/>
      <c r="O4" s="2" t="inlineStr"/>
    </row>
    <row r="5" ht="100" customHeight="1">
      <c r="A5" s="3" t="inlineStr">
        <is>
          <t>R4</t>
        </is>
      </c>
      <c r="B5" s="3" t="inlineStr">
        <is>
          <t>Kokotsaki, D., Menzies, V., &amp; Wiggins, A.</t>
        </is>
      </c>
      <c r="C5" s="3" t="n">
        <v>2016</v>
      </c>
      <c r="D5" s="3" t="inlineStr">
        <is>
          <t>Project-based learning: A review of the literature</t>
        </is>
      </c>
      <c r="E5" s="3" t="inlineStr">
        <is>
          <t>Improving Schools</t>
        </is>
      </c>
      <c r="F5" s="3" t="inlineStr">
        <is>
          <t>19(3)</t>
        </is>
      </c>
      <c r="G5" s="3" t="inlineStr">
        <is>
          <t>267–277</t>
        </is>
      </c>
      <c r="H5" s="5" t="inlineStr">
        <is>
          <t>https://doi.org/10.1177/1365480216659733</t>
        </is>
      </c>
      <c r="I5" s="3" t="inlineStr">
        <is>
          <t>ทบทวนแนวคิดและเงื่อนไขของการเรียนรู้ที่จัดรอบการทำโครงงาน</t>
        </is>
      </c>
      <c r="J5" s="3" t="inlineStr">
        <is>
          <t>เชื่อมการตั้งเป้าหมาย เตรียมวัสดุ ลงมือทำ และสะท้อนผล กับการออกแบบกิจกรรมบน ReBuild</t>
        </is>
      </c>
      <c r="K5" s="3" t="inlineStr">
        <is>
          <t>1, 2, 5</t>
        </is>
      </c>
      <c r="L5" s="3" t="inlineStr">
        <is>
          <t>คู่มือ DIY เพียงอย่างเดียวไม่ยืนยันว่าเป็นการจัดการเรียนรู้แบบ PBL ครบองค์ประกอบ และยังไม่ยืนยันผลสัมฤทธิ์</t>
        </is>
      </c>
      <c r="M5" s="3" t="inlineStr">
        <is>
          <t>รายการบรรณานุกรมจากความรู้ที่มี; ยังตรวจข้อมูลทะเบียน/บทคัดย่อ/ฉบับเต็มออนไลน์ในรอบนี้ไม่ได้ (proxy 403)</t>
        </is>
      </c>
      <c r="N5" s="3" t="inlineStr"/>
      <c r="O5" s="3" t="inlineStr"/>
    </row>
    <row r="6" ht="100" customHeight="1">
      <c r="A6" s="2" t="inlineStr">
        <is>
          <t>R5</t>
        </is>
      </c>
      <c r="B6" s="2" t="inlineStr">
        <is>
          <t>Mayer, R. E., &amp; Moreno, R.</t>
        </is>
      </c>
      <c r="C6" s="2" t="n">
        <v>2003</v>
      </c>
      <c r="D6" s="2" t="inlineStr">
        <is>
          <t>Nine ways to reduce cognitive load in multimedia learning</t>
        </is>
      </c>
      <c r="E6" s="2" t="inlineStr">
        <is>
          <t>Educational Psychologist</t>
        </is>
      </c>
      <c r="F6" s="2" t="inlineStr">
        <is>
          <t>38(1)</t>
        </is>
      </c>
      <c r="G6" s="2" t="inlineStr">
        <is>
          <t>43–52</t>
        </is>
      </c>
      <c r="H6" s="4" t="inlineStr">
        <is>
          <t>https://doi.org/10.1207/S15326985EP3801_6</t>
        </is>
      </c>
      <c r="I6" s="2" t="inlineStr">
        <is>
          <t>อภิปรายแนวทางลดภาระการประมวลผลในการเรียนรู้ผ่านสื่อหลายรูปแบบ</t>
        </is>
      </c>
      <c r="J6" s="2" t="inlineStr">
        <is>
          <t>ใช้เป็นเหตุผลของการแบ่งขั้นตอน จัดภาพใกล้คำอธิบาย และเลือกภาพที่ช่วยอธิบายงานแทนการตกแต่งเกินจำเป็น</t>
        </is>
      </c>
      <c r="K6" s="2" t="inlineStr">
        <is>
          <t>2, 3, 5</t>
        </is>
      </c>
      <c r="L6" s="2" t="inlineStr">
        <is>
          <t>หลักการออกแบบไม่ใช่หลักฐานว่า ReBuild ลดภาระทางปัญญาแล้ว เพราะยังไม่ได้วัดตัวแปรนี้</t>
        </is>
      </c>
      <c r="M6" s="2" t="inlineStr">
        <is>
          <t>รายการบรรณานุกรมจากความรู้ที่มี; ยังตรวจข้อมูลทะเบียน/บทคัดย่อ/ฉบับเต็มออนไลน์ในรอบนี้ไม่ได้ (proxy 403)</t>
        </is>
      </c>
      <c r="N6" s="2" t="inlineStr"/>
      <c r="O6" s="2" t="inlineStr"/>
    </row>
    <row r="7" ht="100" customHeight="1">
      <c r="A7" s="3" t="inlineStr">
        <is>
          <t>R6</t>
        </is>
      </c>
      <c r="B7" s="3" t="inlineStr">
        <is>
          <t>Bangor, A., Kortum, P. T., &amp; Miller, J. T.</t>
        </is>
      </c>
      <c r="C7" s="3" t="n">
        <v>2008</v>
      </c>
      <c r="D7" s="3" t="inlineStr">
        <is>
          <t>An empirical evaluation of the System Usability Scale</t>
        </is>
      </c>
      <c r="E7" s="3" t="inlineStr">
        <is>
          <t>International Journal of Human–Computer Interaction</t>
        </is>
      </c>
      <c r="F7" s="3" t="inlineStr">
        <is>
          <t>24(6)</t>
        </is>
      </c>
      <c r="G7" s="3" t="inlineStr">
        <is>
          <t>574–594</t>
        </is>
      </c>
      <c r="H7" s="5" t="inlineStr">
        <is>
          <t>https://doi.org/10.1080/10447310802205776</t>
        </is>
      </c>
      <c r="I7" s="3" t="inlineStr">
        <is>
          <t>ศึกษาการใช้ System Usability Scale (SUS) ในการประเมินความสามารถในการใช้งาน</t>
        </is>
      </c>
      <c r="J7" s="3" t="inlineStr">
        <is>
          <t>ใช้ศึกษาทางเลือกเครื่องมือมาตรฐานสำหรับการเก็บข้อมูลรอบต่อไป</t>
        </is>
      </c>
      <c r="K7" s="3" t="inlineStr">
        <is>
          <t>2, 3, 5</t>
        </is>
      </c>
      <c r="L7" s="3" t="inlineStr">
        <is>
          <t>คะแนนดาวรีวิวไม่ใช่คะแนน SUS; โครงงานยังไม่ได้ใช้ SUS จึงห้ามรายงานผล SUS หรือแปลงดาวเป็นคะแนน SUS</t>
        </is>
      </c>
      <c r="M7" s="3" t="inlineStr">
        <is>
          <t>รายการบรรณานุกรมจากความรู้ที่มี; ยังตรวจข้อมูลทะเบียน/บทคัดย่อ/ฉบับเต็มออนไลน์ในรอบนี้ไม่ได้ (proxy 403)</t>
        </is>
      </c>
      <c r="N7" s="3" t="inlineStr"/>
      <c r="O7" s="3" t="inlineStr"/>
    </row>
    <row r="8" ht="100" customHeight="1">
      <c r="A8" s="2" t="inlineStr">
        <is>
          <t>R7</t>
        </is>
      </c>
      <c r="B8" s="2" t="inlineStr">
        <is>
          <t>Braun, V., &amp; Clarke, V.</t>
        </is>
      </c>
      <c r="C8" s="2" t="n">
        <v>2006</v>
      </c>
      <c r="D8" s="2" t="inlineStr">
        <is>
          <t>Using thematic analysis in psychology</t>
        </is>
      </c>
      <c r="E8" s="2" t="inlineStr">
        <is>
          <t>Qualitative Research in Psychology</t>
        </is>
      </c>
      <c r="F8" s="2" t="inlineStr">
        <is>
          <t>3(2)</t>
        </is>
      </c>
      <c r="G8" s="2" t="inlineStr">
        <is>
          <t>77–101</t>
        </is>
      </c>
      <c r="H8" s="4" t="inlineStr">
        <is>
          <t>https://doi.org/10.1191/1478088706qp063oa</t>
        </is>
      </c>
      <c r="I8" s="2" t="inlineStr">
        <is>
          <t>อธิบายกระบวนการวิเคราะห์ประเด็นจากข้อมูลเชิงคุณภาพอย่างเป็นระบบ</t>
        </is>
      </c>
      <c r="J8" s="2" t="inlineStr">
        <is>
          <t>ใช้วางแผนการอ่านรีวิว ลงรหัส จัดประเด็น และเก็บหลักฐานเชื่อมจากข้อความไปสู่ข้อสรุป</t>
        </is>
      </c>
      <c r="K8" s="2" t="inlineStr">
        <is>
          <t>2, 3, 5</t>
        </is>
      </c>
      <c r="L8" s="2" t="inlineStr">
        <is>
          <t>การอ่านสรุปรีวิวปัจจุบันยังไม่ควรเรียกว่าได้ดำเนิน thematic analysis อย่างเต็มรูปแบบตามบทความ</t>
        </is>
      </c>
      <c r="M8" s="2" t="inlineStr">
        <is>
          <t>รายการบรรณานุกรมจากความรู้ที่มี; ยังตรวจข้อมูลทะเบียน/บทคัดย่อ/ฉบับเต็มออนไลน์ในรอบนี้ไม่ได้ (proxy 403)</t>
        </is>
      </c>
      <c r="N8" s="2" t="inlineStr"/>
      <c r="O8" s="2" t="inlineStr"/>
    </row>
    <row r="9" ht="100" customHeight="1">
      <c r="A9" s="3" t="inlineStr">
        <is>
          <t>R8</t>
        </is>
      </c>
      <c r="B9" s="3" t="inlineStr">
        <is>
          <t>Davis, F. D.</t>
        </is>
      </c>
      <c r="C9" s="3" t="n">
        <v>1989</v>
      </c>
      <c r="D9" s="3" t="inlineStr">
        <is>
          <t>Perceived usefulness, perceived ease of use, and user acceptance of information technology</t>
        </is>
      </c>
      <c r="E9" s="3" t="inlineStr">
        <is>
          <t>MIS Quarterly</t>
        </is>
      </c>
      <c r="F9" s="3" t="inlineStr">
        <is>
          <t>13(3)</t>
        </is>
      </c>
      <c r="G9" s="3" t="inlineStr">
        <is>
          <t>319–340</t>
        </is>
      </c>
      <c r="H9" s="5" t="inlineStr">
        <is>
          <t>https://doi.org/10.2307/249008</t>
        </is>
      </c>
      <c r="I9" s="3" t="inlineStr">
        <is>
          <t>เสนอและศึกษาความสัมพันธ์ของการรับรู้ประโยชน์และความง่ายในการใช้งานกับการยอมรับเทคโนโลยี</t>
        </is>
      </c>
      <c r="J9" s="3" t="inlineStr">
        <is>
          <t>เป็นแนวทางเลือกตัวแปรเพิ่มเติมหากต้องการศึกษาการยอมรับ ReBuild ในอนาคต</t>
        </is>
      </c>
      <c r="K9" s="3" t="inlineStr">
        <is>
          <t>2, 5 (ทางเลือก)</t>
        </is>
      </c>
      <c r="L9" s="3" t="inlineStr">
        <is>
          <t>ยังไม่มีแบบวัด TAM ในข้อมูลปัจจุบัน จึงไม่ใส่เป็นตัวแปรที่วัดแล้วหรือสร้างค่าสหสัมพันธ์ขึ้นมา</t>
        </is>
      </c>
      <c r="M9" s="3" t="inlineStr">
        <is>
          <t>รายการบรรณานุกรมจากความรู้ที่มี; ยังตรวจข้อมูลทะเบียน/บทคัดย่อ/ฉบับเต็มออนไลน์ในรอบนี้ไม่ได้ (proxy 403)</t>
        </is>
      </c>
      <c r="N9" s="3" t="inlineStr"/>
      <c r="O9" s="3" t="inlineStr"/>
    </row>
  </sheetData>
  <autoFilter ref="A1:O9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</cols>
  <sheetData>
    <row r="1">
      <c r="A1" s="1" t="inlineStr">
        <is>
          <t>ฐานข้อมูล</t>
        </is>
      </c>
      <c r="B1" s="1" t="inlineStr">
        <is>
          <t>คำค้น</t>
        </is>
      </c>
      <c r="C1" s="1" t="inlineStr">
        <is>
          <t>สิ่งที่ต้องตรวจ</t>
        </is>
      </c>
    </row>
    <row r="2">
      <c r="A2" s="2" t="inlineStr">
        <is>
          <t>Google Scholar</t>
        </is>
      </c>
      <c r="B2" s="2" t="inlineStr">
        <is>
          <t>"web-based" "DIY" "usability"</t>
        </is>
      </c>
      <c r="C2" s="2" t="inlineStr">
        <is>
          <t>ตรงกับคู่มือ/เว็บจริง ไม่ใช่ชื่อคล้ายกัน</t>
        </is>
      </c>
    </row>
    <row r="3">
      <c r="A3" s="3" t="inlineStr">
        <is>
          <t>Google Scholar</t>
        </is>
      </c>
      <c r="B3" s="3" t="inlineStr">
        <is>
          <t>"upcycling" "education" "digital"</t>
        </is>
      </c>
      <c r="C3" s="3" t="inlineStr">
        <is>
          <t>วัดผลใดจริง กลุ่มตัวอย่างและบริบทเหมาะหรือไม่</t>
        </is>
      </c>
    </row>
    <row r="4">
      <c r="A4" s="2" t="inlineStr">
        <is>
          <t>Google Scholar</t>
        </is>
      </c>
      <c r="B4" s="2" t="inlineStr">
        <is>
          <t>"project-based learning" "web application" usability</t>
        </is>
      </c>
      <c r="C4" s="2" t="inlineStr">
        <is>
          <t>แยกผลการเรียนรู้จากความพึงพอใจ</t>
        </is>
      </c>
    </row>
    <row r="5">
      <c r="A5" s="3" t="inlineStr">
        <is>
          <t>ThaiJO</t>
        </is>
      </c>
      <c r="B5" s="3" t="inlineStr">
        <is>
          <t>การพัฒนาเว็บแอปพลิเคชัน การประเมินการใช้งาน</t>
        </is>
      </c>
      <c r="C5" s="3" t="inlineStr">
        <is>
          <t>เลือกงานไทยที่มีวิธีวิจัยและบทความฉบับเต็ม</t>
        </is>
      </c>
    </row>
    <row r="6">
      <c r="A6" s="2" t="inlineStr">
        <is>
          <t>ThaiJO</t>
        </is>
      </c>
      <c r="B6" s="2" t="inlineStr">
        <is>
          <t>การเรียนรู้โดยใช้โครงงาน วัสดุเหลือใช้</t>
        </is>
      </c>
      <c r="C6" s="2" t="inlineStr">
        <is>
          <t>ตรวจเครื่องมือวัดและเงื่อนไขการทดลอง</t>
        </is>
      </c>
    </row>
    <row r="7">
      <c r="A7" s="3" t="inlineStr">
        <is>
          <t>ThaiLIS/TDC</t>
        </is>
      </c>
      <c r="B7" s="3" t="inlineStr">
        <is>
          <t>เว็บไซต์ คู่มือ วัสดุเหลือใช้</t>
        </is>
      </c>
      <c r="C7" s="3" t="inlineStr">
        <is>
          <t>ตรวจมหาวิทยาลัย ปี ผู้แต่ง และความตรงกับโจทย์</t>
        </is>
      </c>
    </row>
  </sheetData>
  <autoFilter ref="A1:C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</cols>
  <sheetData>
    <row r="1">
      <c r="A1" s="1" t="inlineStr">
        <is>
          <t>คะแนนดาว</t>
        </is>
      </c>
      <c r="B1" s="1" t="inlineStr">
        <is>
          <t>จำนวนรายการ</t>
        </is>
      </c>
      <c r="C1" s="1" t="inlineStr">
        <is>
          <t>ร้อยละ</t>
        </is>
      </c>
      <c r="D1" s="1" t="inlineStr">
        <is>
          <t>คะแนนถ่วงน้ำหนัก</t>
        </is>
      </c>
    </row>
    <row r="2">
      <c r="A2" s="2" t="n">
        <v>1</v>
      </c>
      <c r="B2" s="2" t="n">
        <v>0</v>
      </c>
      <c r="C2" s="2">
        <f>B2/SUM(B$2:B$6)*100</f>
        <v/>
      </c>
      <c r="D2" s="2">
        <f>A2*B2</f>
        <v/>
      </c>
    </row>
    <row r="3">
      <c r="A3" s="3" t="n">
        <v>2</v>
      </c>
      <c r="B3" s="3" t="n">
        <v>0</v>
      </c>
      <c r="C3" s="3">
        <f>B3/SUM(B$2:B$6)*100</f>
        <v/>
      </c>
      <c r="D3" s="3">
        <f>A3*B3</f>
        <v/>
      </c>
    </row>
    <row r="4">
      <c r="A4" s="2" t="n">
        <v>3</v>
      </c>
      <c r="B4" s="2" t="n">
        <v>7</v>
      </c>
      <c r="C4" s="2">
        <f>B4/SUM(B$2:B$6)*100</f>
        <v/>
      </c>
      <c r="D4" s="2">
        <f>A4*B4</f>
        <v/>
      </c>
    </row>
    <row r="5">
      <c r="A5" s="3" t="n">
        <v>4</v>
      </c>
      <c r="B5" s="3" t="n">
        <v>9</v>
      </c>
      <c r="C5" s="3">
        <f>B5/SUM(B$2:B$6)*100</f>
        <v/>
      </c>
      <c r="D5" s="3">
        <f>A5*B5</f>
        <v/>
      </c>
    </row>
    <row r="6">
      <c r="A6" s="2" t="n">
        <v>5</v>
      </c>
      <c r="B6" s="2" t="n">
        <v>5</v>
      </c>
      <c r="C6" s="2">
        <f>B6/SUM(B$2:B$6)*100</f>
        <v/>
      </c>
      <c r="D6" s="2">
        <f>A6*B6</f>
        <v/>
      </c>
    </row>
    <row r="7">
      <c r="A7" s="3" t="inlineStr">
        <is>
          <t>รวม</t>
        </is>
      </c>
      <c r="B7" s="3">
        <f>SUM(B2:B6)</f>
        <v/>
      </c>
      <c r="C7" s="3">
        <f>SUM(C2:C6)</f>
        <v/>
      </c>
      <c r="D7" s="3">
        <f>SUM(D2:D6)</f>
        <v/>
      </c>
    </row>
    <row r="8">
      <c r="A8" s="2" t="inlineStr">
        <is>
          <t>ค่าเฉลี่ย</t>
        </is>
      </c>
      <c r="B8" s="2">
        <f>D7/B7</f>
        <v/>
      </c>
      <c r="C8" s="2" t="n"/>
      <c r="D8" s="2" t="n"/>
    </row>
    <row r="9">
      <c r="A9" s="3" t="inlineStr">
        <is>
          <t>SD แบบตัวอย่าง</t>
        </is>
      </c>
      <c r="B9" s="3" t="n">
        <v>0.7684244858645451</v>
      </c>
      <c r="C9" s="3" t="n"/>
      <c r="D9" s="3" t="n"/>
    </row>
    <row r="10">
      <c r="A10" s="2" t="inlineStr">
        <is>
          <t>เว็บไซต์: n / mean</t>
        </is>
      </c>
      <c r="B10" s="2" t="inlineStr">
        <is>
          <t>19 / 3.947368421</t>
        </is>
      </c>
      <c r="C10" s="2" t="n"/>
      <c r="D10" s="2" t="n"/>
    </row>
    <row r="11">
      <c r="A11" s="3" t="inlineStr">
        <is>
          <t>โครงงาน: n / mean</t>
        </is>
      </c>
      <c r="B11" s="3" t="inlineStr">
        <is>
          <t>2 / 3.5</t>
        </is>
      </c>
      <c r="C11" s="3" t="n"/>
      <c r="D11" s="3" t="n"/>
    </row>
    <row r="12">
      <c r="A12" s="2" t="inlineStr">
        <is>
          <t>จุดตรวจ</t>
        </is>
      </c>
      <c r="B12" s="2" t="inlineStr">
        <is>
          <t>2026-10-03 23:04 Asia/Bangkok</t>
        </is>
      </c>
      <c r="C12" s="2" t="n"/>
      <c r="D12" s="2" t="n"/>
    </row>
    <row r="13">
      <c r="A13" s="3" t="inlineStr">
        <is>
          <t>ข้อจำกัด</t>
        </is>
      </c>
      <c r="B13" s="3" t="inlineStr">
        <is>
          <t>รายการไม่ใช่คนไม่ซ้ำ; approved only; บางข้อความใช้ข้อความตัวอย่างเป็นฐาน</t>
        </is>
      </c>
      <c r="C13" s="3" t="n"/>
      <c r="D13" s="3" t="n"/>
    </row>
  </sheetData>
  <autoFilter ref="A1:D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38" customWidth="1" min="5" max="5"/>
  </cols>
  <sheetData>
    <row r="1">
      <c r="A1" s="1" t="inlineStr">
        <is>
          <t>รายการ</t>
        </is>
      </c>
      <c r="B1" s="1" t="inlineStr">
        <is>
          <t>ผ่าน</t>
        </is>
      </c>
      <c r="C1" s="1" t="inlineStr">
        <is>
          <t>ไม่ผ่าน</t>
        </is>
      </c>
      <c r="D1" s="1" t="inlineStr">
        <is>
          <t>ข้าม</t>
        </is>
      </c>
      <c r="E1" s="1" t="inlineStr">
        <is>
          <t>เงื่อนไข</t>
        </is>
      </c>
    </row>
    <row r="2">
      <c r="A2" s="2" t="inlineStr">
        <is>
          <t>ฟังก์ชัน/API/SQL</t>
        </is>
      </c>
      <c r="B2" s="2" t="n">
        <v>99</v>
      </c>
      <c r="C2" s="2" t="n">
        <v>0</v>
      </c>
      <c r="D2" s="2" t="n">
        <v>0</v>
      </c>
      <c r="E2" s="2" t="inlineStr">
        <is>
          <t>รุ่น 5125774; ข้อมูลจำลองสำหรับบาง API</t>
        </is>
      </c>
    </row>
    <row r="3">
      <c r="A3" s="3" t="inlineStr">
        <is>
          <t>Chromium browser</t>
        </is>
      </c>
      <c r="B3" s="3" t="n">
        <v>51</v>
      </c>
      <c r="C3" s="3" t="n">
        <v>0</v>
      </c>
      <c r="D3" s="3" t="n">
        <v>0</v>
      </c>
      <c r="E3" s="3" t="inlineStr">
        <is>
          <t>1440/768/360px; ไม่ใช่การทดลองกับคน</t>
        </is>
      </c>
    </row>
    <row r="4">
      <c r="A4" s="2" t="inlineStr">
        <is>
          <t>axe</t>
        </is>
      </c>
      <c r="B4" s="2" t="n">
        <v>75</v>
      </c>
      <c r="C4" s="2" t="inlineStr">
        <is>
          <t>0 violations</t>
        </is>
      </c>
      <c r="D4" s="2" t="inlineStr">
        <is>
          <t>ไม่ระบุ</t>
        </is>
      </c>
      <c r="E4" s="2" t="inlineStr">
        <is>
          <t>75 scans; ไม่ใช่การรับรอง WCAG ทั้งหมด</t>
        </is>
      </c>
    </row>
    <row r="5">
      <c r="A5" s="3" t="inlineStr">
        <is>
          <t>npm audit</t>
        </is>
      </c>
      <c r="B5" s="3" t="inlineStr">
        <is>
          <t>0 known vulnerabilities</t>
        </is>
      </c>
      <c r="C5" s="3" t="inlineStr"/>
      <c r="D5" s="3" t="inlineStr"/>
      <c r="E5" s="3" t="inlineStr">
        <is>
          <t>ตามฐานข้อมูล ณ วันที่ตรวจ</t>
        </is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</cols>
  <sheetData>
    <row r="1">
      <c r="A1" s="1" t="inlineStr">
        <is>
          <t>รหัสผู้ทดลอง</t>
        </is>
      </c>
      <c r="B1" s="1" t="inlineStr">
        <is>
          <t>รุ่นเว็บ</t>
        </is>
      </c>
      <c r="C1" s="1" t="inlineStr">
        <is>
          <t>วันที่</t>
        </is>
      </c>
      <c r="D1" s="1" t="inlineStr">
        <is>
          <t>อุปกรณ์</t>
        </is>
      </c>
      <c r="E1" s="1" t="inlineStr">
        <is>
          <t>ภารกิจ T1–T4</t>
        </is>
      </c>
      <c r="F1" s="1" t="inlineStr">
        <is>
          <t>ผลสำเร็จ</t>
        </is>
      </c>
      <c r="G1" s="1" t="inlineStr">
        <is>
          <t>วินาที</t>
        </is>
      </c>
      <c r="H1" s="1" t="inlineStr">
        <is>
          <t>ความช่วยเหลือ</t>
        </is>
      </c>
      <c r="I1" s="1" t="inlineStr">
        <is>
          <t>ข้อสังเกต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</sheetData>
  <autoFilter ref="A1:I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</cols>
  <sheetData>
    <row r="1">
      <c r="A1" s="1" t="inlineStr">
        <is>
          <t>รหัสผู้ทดลอง</t>
        </is>
      </c>
      <c r="B1" s="1" t="inlineStr">
        <is>
          <t>วันที่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  <c r="G1" s="1" t="inlineStr">
        <is>
          <t>Q5</t>
        </is>
      </c>
      <c r="H1" s="1" t="inlineStr">
        <is>
          <t>Q6</t>
        </is>
      </c>
      <c r="I1" s="1" t="inlineStr">
        <is>
          <t>Q7</t>
        </is>
      </c>
      <c r="J1" s="1" t="inlineStr">
        <is>
          <t>Q8</t>
        </is>
      </c>
      <c r="K1" s="1" t="inlineStr">
        <is>
          <t>ข้อเสนอแนะ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</sheetData>
  <autoFilter ref="A1:K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</cols>
  <sheetData>
    <row r="1">
      <c r="A1" s="1" t="inlineStr">
        <is>
          <t>สิ่งที่ต้องตรวจ/เติม</t>
        </is>
      </c>
      <c r="B1" s="1" t="inlineStr">
        <is>
          <t>สถานะ</t>
        </is>
      </c>
      <c r="C1" s="1" t="inlineStr">
        <is>
          <t>หลักฐานหรือไฟล์</t>
        </is>
      </c>
    </row>
    <row r="2">
      <c r="A2" s="2" t="inlineStr">
        <is>
          <t>เปิดตรวจบทความต้นฉบับ R1–R8</t>
        </is>
      </c>
      <c r="B2" s="2" t="inlineStr">
        <is>
          <t>รอตรวจ/เติม</t>
        </is>
      </c>
      <c r="C2" s="2" t="inlineStr"/>
    </row>
    <row r="3">
      <c r="A3" s="3" t="inlineStr">
        <is>
          <t>เพิ่มงานประยุกต์ช่วง 2564–2569</t>
        </is>
      </c>
      <c r="B3" s="3" t="inlineStr">
        <is>
          <t>รอตรวจ/เติม</t>
        </is>
      </c>
      <c r="C3" s="3" t="inlineStr"/>
    </row>
    <row r="4">
      <c r="A4" s="2" t="inlineStr">
        <is>
          <t>เพิ่มงานวิจัยไทยหากอาจารย์กำหนด</t>
        </is>
      </c>
      <c r="B4" s="2" t="inlineStr">
        <is>
          <t>รอตรวจ/เติม</t>
        </is>
      </c>
      <c r="C4" s="2" t="inlineStr"/>
    </row>
    <row r="5">
      <c r="A5" s="3" t="inlineStr">
        <is>
          <t>เลือกกรอบหลักให้ตรงวัตถุประสงค์</t>
        </is>
      </c>
      <c r="B5" s="3" t="inlineStr">
        <is>
          <t>รอตรวจ/เติม</t>
        </is>
      </c>
      <c r="C5" s="3" t="inlineStr"/>
    </row>
    <row r="6">
      <c r="A6" s="2" t="inlineStr">
        <is>
          <t>ชื่อผู้จัดทำ/ครู/โรงเรียน</t>
        </is>
      </c>
      <c r="B6" s="2" t="inlineStr">
        <is>
          <t>รอตรวจ/เติม</t>
        </is>
      </c>
      <c r="C6" s="2" t="inlineStr"/>
    </row>
    <row r="7">
      <c r="A7" s="3" t="inlineStr">
        <is>
          <t>สถานที่และช่วงพัฒนาจริง</t>
        </is>
      </c>
      <c r="B7" s="3" t="inlineStr">
        <is>
          <t>รอตรวจ/เติม</t>
        </is>
      </c>
      <c r="C7" s="3" t="inlineStr"/>
    </row>
    <row r="8">
      <c r="A8" s="2" t="inlineStr">
        <is>
          <t>วิธีคัดเลือกผู้ทดลองจริง</t>
        </is>
      </c>
      <c r="B8" s="2" t="inlineStr">
        <is>
          <t>รอตรวจ/เติม</t>
        </is>
      </c>
      <c r="C8" s="2" t="inlineStr"/>
    </row>
    <row r="9">
      <c r="A9" s="3" t="inlineStr">
        <is>
          <t>ทะเบียนรหัสยืนยันจำนวนคน</t>
        </is>
      </c>
      <c r="B9" s="3" t="inlineStr">
        <is>
          <t>รอตรวจ/เติม</t>
        </is>
      </c>
      <c r="C9" s="3" t="inlineStr"/>
    </row>
    <row r="10">
      <c r="A10" s="2" t="inlineStr">
        <is>
          <t>ความยินยอมตามเงื่อนไขโรงเรียน</t>
        </is>
      </c>
      <c r="B10" s="2" t="inlineStr">
        <is>
          <t>รอตรวจ/เติม</t>
        </is>
      </c>
      <c r="C10" s="2" t="inlineStr"/>
    </row>
    <row r="11">
      <c r="A11" s="3" t="inlineStr">
        <is>
          <t>บันทึกภารกิจรายคน ถ้ามี</t>
        </is>
      </c>
      <c r="B11" s="3" t="inlineStr">
        <is>
          <t>รอตรวจ/เติม</t>
        </is>
      </c>
      <c r="C11" s="3" t="inlineStr"/>
    </row>
    <row r="12">
      <c r="A12" s="2" t="inlineStr">
        <is>
          <t>ผลแบบสอบถามจริง ถ้ามี</t>
        </is>
      </c>
      <c r="B12" s="2" t="inlineStr">
        <is>
          <t>รอตรวจ/เติม</t>
        </is>
      </c>
      <c r="C12" s="2" t="inlineStr"/>
    </row>
    <row r="13">
      <c r="A13" s="3" t="inlineStr">
        <is>
          <t>ที่มาของข้อความรีวิวและการอนุมัติ</t>
        </is>
      </c>
      <c r="B13" s="3" t="inlineStr">
        <is>
          <t>รอตรวจ/เติม</t>
        </is>
      </c>
      <c r="C13" s="3" t="inlineStr"/>
    </row>
    <row r="14">
      <c r="A14" s="2" t="inlineStr">
        <is>
          <t>อ้างรุ่นซอฟต์แวร์และจุดตรวจข้อมูล</t>
        </is>
      </c>
      <c r="B14" s="2" t="inlineStr">
        <is>
          <t>รอตรวจ/เติม</t>
        </is>
      </c>
      <c r="C14" s="2" t="inlineStr"/>
    </row>
    <row r="15">
      <c r="A15" s="3" t="inlineStr">
        <is>
          <t>ตรวจกราฟตรงกับตาราง</t>
        </is>
      </c>
      <c r="B15" s="3" t="inlineStr">
        <is>
          <t>รอตรวจ/เติม</t>
        </is>
      </c>
      <c r="C15" s="3" t="inlineStr"/>
    </row>
    <row r="16">
      <c r="A16" s="2" t="inlineStr">
        <is>
          <t>บรรณานุกรมตรงกับการอ้างในเนื้อหา</t>
        </is>
      </c>
      <c r="B16" s="2" t="inlineStr">
        <is>
          <t>รอตรวจ/เติม</t>
        </is>
      </c>
      <c r="C16" s="2" t="inlineStr"/>
    </row>
    <row r="17">
      <c r="A17" s="3" t="inlineStr">
        <is>
          <t>เลขหน้าสารบัญและเลขภาพ/ตาราง</t>
        </is>
      </c>
      <c r="B17" s="3" t="inlineStr">
        <is>
          <t>รอตรวจ/เติม</t>
        </is>
      </c>
      <c r="C17" s="3" t="inlineStr"/>
    </row>
  </sheetData>
  <autoFilter ref="A1:C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2026-10-03T18:02:57Z</dcterms:created>
  <dcterms:modified xmlns:dcterms="http://purl.org/dc/terms/" xmlns:xsi="http://www.w3.org/2001/XMLSchema-instance" xsi:type="dcterms:W3CDTF">2026-10-03T18:02:57Z</dcterms:modified>
</cp:coreProperties>
</file>